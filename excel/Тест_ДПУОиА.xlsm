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/>
  <workbookPr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353854D1-620C-4A8B-9B93-FD241C7B8EB8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Excel_1" sheetId="5" r:id="rId1"/>
    <sheet name="Excel_2" sheetId="6" r:id="rId2"/>
    <sheet name="PPT" sheetId="13" r:id="rId3"/>
    <sheet name="PPT (2)" sheetId="15" state="hidden" r:id="rId4"/>
  </sheets>
  <definedNames>
    <definedName name="_xlnm._FilterDatabase" localSheetId="1" hidden="1">Excel_2!$A$25:$L$225</definedName>
    <definedName name="Бизнес">Excel_2!$E$26:$E$225</definedName>
    <definedName name="Вид">Excel_2!$C$26:$C$225</definedName>
    <definedName name="Год">Excel_2!$B$26:$B$225</definedName>
    <definedName name="Статья">Excel_2!$D$26:$D$225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4" i="15" l="1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N13" i="15"/>
  <c r="M13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20" i="15"/>
  <c r="K21" i="15"/>
  <c r="K22" i="15"/>
  <c r="L14" i="15"/>
  <c r="L15" i="15"/>
  <c r="L16" i="15"/>
  <c r="L17" i="15"/>
  <c r="L18" i="15"/>
  <c r="L19" i="15"/>
  <c r="L13" i="15"/>
  <c r="K14" i="15"/>
  <c r="K15" i="15"/>
  <c r="K16" i="15"/>
  <c r="K17" i="15"/>
  <c r="K18" i="15"/>
  <c r="K19" i="15"/>
  <c r="K13" i="15"/>
  <c r="L16" i="6"/>
  <c r="M16" i="6"/>
  <c r="N16" i="6"/>
  <c r="O16" i="6"/>
  <c r="L15" i="6"/>
  <c r="M15" i="6"/>
  <c r="N15" i="6"/>
  <c r="O15" i="6"/>
  <c r="L14" i="6"/>
  <c r="M14" i="6"/>
  <c r="N14" i="6"/>
  <c r="O14" i="6"/>
  <c r="K15" i="6"/>
  <c r="K16" i="6"/>
  <c r="K14" i="6"/>
  <c r="H15" i="6"/>
  <c r="H16" i="6"/>
  <c r="H17" i="6"/>
  <c r="H18" i="6"/>
  <c r="H14" i="6"/>
  <c r="G15" i="6"/>
  <c r="G16" i="6"/>
  <c r="G17" i="6"/>
  <c r="G18" i="6"/>
  <c r="G14" i="6"/>
  <c r="F15" i="6"/>
  <c r="F16" i="6"/>
  <c r="F17" i="6"/>
  <c r="F18" i="6"/>
  <c r="F14" i="6"/>
  <c r="E15" i="6"/>
  <c r="E16" i="6"/>
  <c r="E17" i="6"/>
  <c r="E18" i="6"/>
  <c r="E14" i="6"/>
  <c r="D15" i="6"/>
  <c r="D16" i="6"/>
  <c r="D17" i="6"/>
  <c r="D18" i="6"/>
  <c r="D14" i="6"/>
  <c r="N11" i="5" l="1"/>
  <c r="M11" i="5"/>
  <c r="L11" i="5"/>
  <c r="K11" i="5"/>
  <c r="J11" i="5"/>
  <c r="I11" i="5"/>
  <c r="H11" i="5"/>
  <c r="G11" i="5"/>
</calcChain>
</file>

<file path=xl/sharedStrings.xml><?xml version="1.0" encoding="utf-8"?>
<sst xmlns="http://schemas.openxmlformats.org/spreadsheetml/2006/main" count="910" uniqueCount="84">
  <si>
    <t>В таблице ниже приведены поквартальные данные региона "X" за 2018-2020 годы. Необходимо построить график, максимально приближенный по форме и содержанию к тому, что изображен на картинке под таблицей.</t>
  </si>
  <si>
    <t>1Q18</t>
  </si>
  <si>
    <t>2Q18</t>
  </si>
  <si>
    <t>3Q18</t>
  </si>
  <si>
    <t>4Q18</t>
  </si>
  <si>
    <t>1Q19</t>
  </si>
  <si>
    <t>2Q19</t>
  </si>
  <si>
    <t>3Q19</t>
  </si>
  <si>
    <t>4Q19</t>
  </si>
  <si>
    <t>1Q20</t>
  </si>
  <si>
    <t>2Q20</t>
  </si>
  <si>
    <t>3Q20</t>
  </si>
  <si>
    <t>4Q20</t>
  </si>
  <si>
    <t>Факт</t>
  </si>
  <si>
    <t>План</t>
  </si>
  <si>
    <t>Год к году</t>
  </si>
  <si>
    <t>Год</t>
  </si>
  <si>
    <t>Вид</t>
  </si>
  <si>
    <t>Статья</t>
  </si>
  <si>
    <t>B</t>
  </si>
  <si>
    <t>D</t>
  </si>
  <si>
    <t>G</t>
  </si>
  <si>
    <t>A</t>
  </si>
  <si>
    <t>C</t>
  </si>
  <si>
    <t>B2C</t>
  </si>
  <si>
    <t>Доходы</t>
  </si>
  <si>
    <t>B2B</t>
  </si>
  <si>
    <t>Абоненты</t>
  </si>
  <si>
    <t>B2G</t>
  </si>
  <si>
    <t>OIBDA</t>
  </si>
  <si>
    <t>M2M</t>
  </si>
  <si>
    <t>IoT</t>
  </si>
  <si>
    <t>Месяц</t>
  </si>
  <si>
    <t>Бизнес</t>
  </si>
  <si>
    <t>E</t>
  </si>
  <si>
    <t>F</t>
  </si>
  <si>
    <t>дек</t>
  </si>
  <si>
    <t>m</t>
  </si>
  <si>
    <t>апр</t>
  </si>
  <si>
    <t>июл</t>
  </si>
  <si>
    <t>r</t>
  </si>
  <si>
    <t>мар</t>
  </si>
  <si>
    <t>f</t>
  </si>
  <si>
    <t>янв</t>
  </si>
  <si>
    <t>ноя</t>
  </si>
  <si>
    <t>окт</t>
  </si>
  <si>
    <t>май</t>
  </si>
  <si>
    <t>фев</t>
  </si>
  <si>
    <t>авг</t>
  </si>
  <si>
    <t>сен</t>
  </si>
  <si>
    <t>июн</t>
  </si>
  <si>
    <t>1.</t>
  </si>
  <si>
    <t>2.</t>
  </si>
  <si>
    <t>ИСХОДНЫЕ ДАННЫЕ</t>
  </si>
  <si>
    <t>ИТОГО ДОХОДЫ</t>
  </si>
  <si>
    <t>ИТОГО доходы мобильного бизнеса</t>
  </si>
  <si>
    <t>Доходы от абонентской и повременной платы</t>
  </si>
  <si>
    <t>Доходы от передачи данных</t>
  </si>
  <si>
    <t>Доходы от роуминга</t>
  </si>
  <si>
    <t>Доходы от SMS</t>
  </si>
  <si>
    <t>Доходы от интерконнекта</t>
  </si>
  <si>
    <t>ИТОГО доходы торговой деятельности</t>
  </si>
  <si>
    <t>Доходы от реализации телефонов</t>
  </si>
  <si>
    <t>Доходы от реализации прочих товаров</t>
  </si>
  <si>
    <t>ИТОГО СЕБЕСТОИМОСТЬ</t>
  </si>
  <si>
    <t>Расходы на роуминг</t>
  </si>
  <si>
    <t>Расходы на интерконнект</t>
  </si>
  <si>
    <t>Сбестоимость товаров</t>
  </si>
  <si>
    <t>Прочая себестоимость</t>
  </si>
  <si>
    <t>ИТОГО ПРОЧИЕ РАСХОДЫ</t>
  </si>
  <si>
    <t>Расходы на рекламу</t>
  </si>
  <si>
    <t>Расходы на оплату труда</t>
  </si>
  <si>
    <t>Расходы на аренду помещений</t>
  </si>
  <si>
    <t>Прочие расходы</t>
  </si>
  <si>
    <t>OPEX</t>
  </si>
  <si>
    <t>Амортизация</t>
  </si>
  <si>
    <t>Чистая прибыль</t>
  </si>
  <si>
    <t>Нарисовать в PowerPoint слайды:
1.  На отдельных графиках основные показатели бизнеса (выбрать не более 4 показателей)
2.  Факторный анализ изменения OIBDA год к году (2-й квартал 2018 относительно 2-го квартала 2017)</t>
  </si>
  <si>
    <t>Дана таблица данных содержащая 200 строк
1. Прописать формулы в ячейки D14:H18, чтобы в них суммировались данные исходной таблицы в соответствии с выбранными значениями колонок и столбцов
2. С помощью формул выявить, в каком году и по какой статье не представлены одновременно все три бизнеса (m,f,r)?
Задание выполнить БЕЗ сводных таблиц</t>
  </si>
  <si>
    <t>2й кв 2017</t>
  </si>
  <si>
    <t>2й кв 2018</t>
  </si>
  <si>
    <t>Рост</t>
  </si>
  <si>
    <t>Снижение</t>
  </si>
  <si>
    <t>% роста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</si>
</sst>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_-* #,##0.00\ _₽_-;\-* #,##0.00\ _₽_-;_-* &quot;-&quot;??\ _₽_-;_-@_-"/>
    <numFmt numFmtId="166" formatCode="_-* #,##0.0\ _₽_-;\-* #,##0.0\ _₽_-;_-* &quot;-&quot;??\ _₽_-;_-@_-"/>
    <numFmt numFmtId="167" formatCode="0.0"/>
    <numFmt numFmtId="168" formatCode="_-* #,##0.0\ _₽_-;\-* #,##0.0\ _₽_-;_-* &quot;-&quot;?\ _₽_-;_-@_-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 tint="0.34998626667073579"/>
      <name val="Arial"/>
      <family val="2"/>
      <charset val="204"/>
    </font>
    <font>
      <sz val="10"/>
      <name val="Arial Cyr"/>
      <charset val="204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7" fillId="0" borderId="0"/>
    <xf numFmtId="165" fontId="7" fillId="0" borderId="0" applyFont="0" applyFill="0" applyBorder="0" applyAlignment="0" applyProtection="0"/>
  </cellStyleXfs>
  <cellXfs count="59">
    <xf numFmtId="0" fontId="0" fillId="0" borderId="0" xfId="0"/>
    <xf numFmtId="0" fontId="5" fillId="0" borderId="1" xfId="2" applyFont="1" applyBorder="1"/>
    <xf numFmtId="2" fontId="6" fillId="0" borderId="1" xfId="2" applyNumberFormat="1" applyFont="1" applyFill="1" applyBorder="1"/>
    <xf numFmtId="0" fontId="6" fillId="0" borderId="1" xfId="2" applyFont="1" applyBorder="1"/>
    <xf numFmtId="3" fontId="6" fillId="0" borderId="1" xfId="2" applyNumberFormat="1" applyFont="1" applyFill="1" applyBorder="1"/>
    <xf numFmtId="164" fontId="6" fillId="0" borderId="1" xfId="1" applyNumberFormat="1" applyFont="1" applyFill="1" applyBorder="1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0" xfId="0" applyFont="1" applyAlignment="1">
      <alignment horizontal="left"/>
    </xf>
    <xf numFmtId="0" fontId="3" fillId="0" borderId="0" xfId="0" applyFont="1"/>
    <xf numFmtId="0" fontId="7" fillId="0" borderId="0" xfId="3"/>
    <xf numFmtId="17" fontId="7" fillId="0" borderId="0" xfId="3" applyNumberFormat="1"/>
    <xf numFmtId="0" fontId="7" fillId="4" borderId="0" xfId="3" applyFill="1"/>
    <xf numFmtId="166" fontId="0" fillId="4" borderId="0" xfId="4" applyNumberFormat="1" applyFont="1" applyFill="1"/>
    <xf numFmtId="0" fontId="7" fillId="0" borderId="0" xfId="3" applyFont="1" applyAlignment="1">
      <alignment horizontal="left" indent="3"/>
    </xf>
    <xf numFmtId="166" fontId="0" fillId="0" borderId="0" xfId="4" applyNumberFormat="1" applyFont="1" applyFill="1"/>
    <xf numFmtId="166" fontId="0" fillId="0" borderId="0" xfId="4" applyNumberFormat="1" applyFont="1"/>
    <xf numFmtId="0" fontId="7" fillId="0" borderId="0" xfId="3" applyAlignment="1">
      <alignment horizontal="left" indent="3"/>
    </xf>
    <xf numFmtId="167" fontId="7" fillId="4" borderId="0" xfId="3" applyNumberFormat="1" applyFill="1"/>
    <xf numFmtId="167" fontId="7" fillId="0" borderId="0" xfId="3" applyNumberFormat="1" applyFill="1"/>
    <xf numFmtId="168" fontId="7" fillId="4" borderId="0" xfId="3" applyNumberFormat="1" applyFill="1"/>
    <xf numFmtId="168" fontId="0" fillId="0" borderId="0" xfId="0" applyNumberFormat="1"/>
    <xf numFmtId="0" fontId="3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  <xf numFmtId="0" fontId="2" fillId="0" borderId="12" xfId="0" applyFont="1" applyBorder="1" applyAlignment="1">
      <alignment horizontal="left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2" fillId="0" borderId="17" xfId="0" applyFont="1" applyBorder="1" applyAlignment="1">
      <alignment horizontal="left" vertical="center" wrapText="1"/>
    </xf>
    <xf numFmtId="0" fontId="3" fillId="0" borderId="10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</cellXfs>
  <cellStyles count="5">
    <cellStyle name="Обычный" xfId="0" builtinId="0"/>
    <cellStyle name="Обычный 2" xfId="3" xr:uid="{00000000-0005-0000-0000-000001000000}"/>
    <cellStyle name="Обычный 2 3" xfId="2" xr:uid="{00000000-0005-0000-0000-000002000000}"/>
    <cellStyle name="Процентный" xfId="1" builtinId="5"/>
    <cellStyle name="Финансовый 2" xfId="4" xr:uid="{00000000-0005-0000-0000-000004000000}"/>
  </cellStyles>
  <dxfs count="0"/>
  <tableStyles count="0" defaultTableStyle="TableStyleMedium2" defaultPivotStyle="PivotStyleLight16"/>
  <colors>
    <mruColors>
      <color rgb="FFCCFFCC"/>
      <color rgb="FFFFCCFF"/>
      <color rgb="FFFFCCCC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Excel_1!$B$11</c:f>
              <c:strCache>
                <c:ptCount val="1"/>
                <c:pt idx="0">
                  <c:v>Год к году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Excel_1!$C$8:$N$8</c:f>
              <c:strCache>
                <c:ptCount val="12"/>
                <c:pt idx="0">
                  <c:v>1Q18</c:v>
                </c:pt>
                <c:pt idx="1">
                  <c:v>2Q18</c:v>
                </c:pt>
                <c:pt idx="2">
                  <c:v>3Q18</c:v>
                </c:pt>
                <c:pt idx="3">
                  <c:v>4Q18</c:v>
                </c:pt>
                <c:pt idx="4">
                  <c:v>1Q19</c:v>
                </c:pt>
                <c:pt idx="5">
                  <c:v>2Q19</c:v>
                </c:pt>
                <c:pt idx="6">
                  <c:v>3Q19</c:v>
                </c:pt>
                <c:pt idx="7">
                  <c:v>4Q19</c:v>
                </c:pt>
                <c:pt idx="8">
                  <c:v>1Q20</c:v>
                </c:pt>
                <c:pt idx="9">
                  <c:v>2Q20</c:v>
                </c:pt>
                <c:pt idx="10">
                  <c:v>3Q20</c:v>
                </c:pt>
                <c:pt idx="11">
                  <c:v>4Q20</c:v>
                </c:pt>
              </c:strCache>
            </c:strRef>
          </c:cat>
          <c:val>
            <c:numRef>
              <c:f>Excel_1!$C$11:$N$11</c:f>
              <c:numCache>
                <c:formatCode>0.0%</c:formatCode>
                <c:ptCount val="12"/>
                <c:pt idx="4">
                  <c:v>0.29932263910640677</c:v>
                </c:pt>
                <c:pt idx="5">
                  <c:v>0.2837759354121403</c:v>
                </c:pt>
                <c:pt idx="6">
                  <c:v>0.29961563505012623</c:v>
                </c:pt>
                <c:pt idx="7">
                  <c:v>0.13930695787422431</c:v>
                </c:pt>
                <c:pt idx="8">
                  <c:v>0.19650612389625</c:v>
                </c:pt>
                <c:pt idx="9">
                  <c:v>0.15546743498794391</c:v>
                </c:pt>
                <c:pt idx="10">
                  <c:v>5.2783046392801625E-2</c:v>
                </c:pt>
                <c:pt idx="11">
                  <c:v>-3.2498252931250082E-3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49-4562-BFA3-24CDBEEDD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3"/>
        <c:axId val="78488544"/>
        <c:axId val="78486048"/>
      </c:barChart>
      <c:lineChart>
        <c:grouping val="standard"/>
        <c:varyColors val="0"/>
        <c:ser>
          <c:idx val="0"/>
          <c:order val="0"/>
          <c:tx>
            <c:strRef>
              <c:f>Excel_1!$B$9</c:f>
              <c:strCache>
                <c:ptCount val="1"/>
                <c:pt idx="0">
                  <c:v>Факт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3846151162466172E-2"/>
                  <c:y val="4.58540368522034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49-4562-BFA3-24CDBEEDDFDC}"/>
                </c:ext>
              </c:extLst>
            </c:dLbl>
            <c:dLbl>
              <c:idx val="1"/>
              <c:layout>
                <c:manualLayout>
                  <c:x val="-5.5299565296268128E-3"/>
                  <c:y val="2.2927018426101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49-4562-BFA3-24CDBEEDDFDC}"/>
                </c:ext>
              </c:extLst>
            </c:dLbl>
            <c:dLbl>
              <c:idx val="3"/>
              <c:layout>
                <c:manualLayout>
                  <c:x val="-1.661538139495939E-2"/>
                  <c:y val="5.5378678522763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49-4562-BFA3-24CDBEEDDFDC}"/>
                </c:ext>
              </c:extLst>
            </c:dLbl>
            <c:dLbl>
              <c:idx val="4"/>
              <c:layout>
                <c:manualLayout>
                  <c:x val="-2.2153841859945903E-2"/>
                  <c:y val="2.75124221113220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49-4562-BFA3-24CDBEEDDFDC}"/>
                </c:ext>
              </c:extLst>
            </c:dLbl>
            <c:dLbl>
              <c:idx val="5"/>
              <c:layout>
                <c:manualLayout>
                  <c:x val="-2.7692302324933333E-3"/>
                  <c:y val="2.75124221113220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49-4562-BFA3-24CDBEEDDFDC}"/>
                </c:ext>
              </c:extLst>
            </c:dLbl>
            <c:dLbl>
              <c:idx val="6"/>
              <c:layout>
                <c:manualLayout>
                  <c:x val="-5.5384604649865651E-3"/>
                  <c:y val="3.66832294817626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049-4562-BFA3-24CDBEEDDFDC}"/>
                </c:ext>
              </c:extLst>
            </c:dLbl>
            <c:dLbl>
              <c:idx val="7"/>
              <c:layout>
                <c:manualLayout>
                  <c:x val="-2.2153841859945855E-2"/>
                  <c:y val="2.75124221113220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49-4562-BFA3-24CDBEEDDFDC}"/>
                </c:ext>
              </c:extLst>
            </c:dLbl>
            <c:dLbl>
              <c:idx val="8"/>
              <c:layout>
                <c:manualLayout>
                  <c:x val="-2.2153841859945855E-2"/>
                  <c:y val="5.50248442226440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49-4562-BFA3-24CDBEEDDFDC}"/>
                </c:ext>
              </c:extLst>
            </c:dLbl>
            <c:dLbl>
              <c:idx val="9"/>
              <c:layout>
                <c:manualLayout>
                  <c:x val="-3.046153255742555E-2"/>
                  <c:y val="3.66832294817627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49-4562-BFA3-24CDBEEDDFDC}"/>
                </c:ext>
              </c:extLst>
            </c:dLbl>
            <c:dLbl>
              <c:idx val="10"/>
              <c:layout>
                <c:manualLayout>
                  <c:x val="-3.5999993022412115E-2"/>
                  <c:y val="4.1268633166983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049-4562-BFA3-24CDBEEDDFDC}"/>
                </c:ext>
              </c:extLst>
            </c:dLbl>
            <c:dLbl>
              <c:idx val="11"/>
              <c:layout>
                <c:manualLayout>
                  <c:x val="-3.3230762789918884E-2"/>
                  <c:y val="4.585403685220337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049-4562-BFA3-24CDBEEDDF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Excel_1!$C$8:$N$8</c:f>
              <c:strCache>
                <c:ptCount val="12"/>
                <c:pt idx="0">
                  <c:v>1Q18</c:v>
                </c:pt>
                <c:pt idx="1">
                  <c:v>2Q18</c:v>
                </c:pt>
                <c:pt idx="2">
                  <c:v>3Q18</c:v>
                </c:pt>
                <c:pt idx="3">
                  <c:v>4Q18</c:v>
                </c:pt>
                <c:pt idx="4">
                  <c:v>1Q19</c:v>
                </c:pt>
                <c:pt idx="5">
                  <c:v>2Q19</c:v>
                </c:pt>
                <c:pt idx="6">
                  <c:v>3Q19</c:v>
                </c:pt>
                <c:pt idx="7">
                  <c:v>4Q19</c:v>
                </c:pt>
                <c:pt idx="8">
                  <c:v>1Q20</c:v>
                </c:pt>
                <c:pt idx="9">
                  <c:v>2Q20</c:v>
                </c:pt>
                <c:pt idx="10">
                  <c:v>3Q20</c:v>
                </c:pt>
                <c:pt idx="11">
                  <c:v>4Q20</c:v>
                </c:pt>
              </c:strCache>
            </c:strRef>
          </c:cat>
          <c:val>
            <c:numRef>
              <c:f>Excel_1!$C$9:$N$9</c:f>
              <c:numCache>
                <c:formatCode>#,##0</c:formatCode>
                <c:ptCount val="12"/>
                <c:pt idx="0">
                  <c:v>150.89729821292499</c:v>
                </c:pt>
                <c:pt idx="1">
                  <c:v>154.89729821292451</c:v>
                </c:pt>
                <c:pt idx="2">
                  <c:v>167.77156037901796</c:v>
                </c:pt>
                <c:pt idx="3">
                  <c:v>202.76921721227097</c:v>
                </c:pt>
                <c:pt idx="4">
                  <c:v>196.06427574804417</c:v>
                </c:pt>
                <c:pt idx="5">
                  <c:v>198.85342390611041</c:v>
                </c:pt>
                <c:pt idx="6">
                  <c:v>218.03854298532801</c:v>
                </c:pt>
                <c:pt idx="7">
                  <c:v>231.01638001265025</c:v>
                </c:pt>
                <c:pt idx="8">
                  <c:v>234.59210660981785</c:v>
                </c:pt>
                <c:pt idx="9">
                  <c:v>229.76865565936367</c:v>
                </c:pt>
                <c:pt idx="10">
                  <c:v>229.54728151514146</c:v>
                </c:pt>
                <c:pt idx="11">
                  <c:v>230.26561713775897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49-4562-BFA3-24CDBEEDDFDC}"/>
            </c:ext>
          </c:extLst>
        </c:ser>
        <c:ser>
          <c:idx val="1"/>
          <c:order val="1"/>
          <c:tx>
            <c:strRef>
              <c:f>Excel_1!$B$10</c:f>
              <c:strCache>
                <c:ptCount val="1"/>
                <c:pt idx="0">
                  <c:v>План</c:v>
                </c:pt>
              </c:strCache>
            </c:strRef>
          </c:tx>
          <c:spPr>
            <a:ln w="28575" cap="rnd" cmpd="sng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Excel_1!$C$8:$N$8</c:f>
              <c:strCache>
                <c:ptCount val="12"/>
                <c:pt idx="0">
                  <c:v>1Q18</c:v>
                </c:pt>
                <c:pt idx="1">
                  <c:v>2Q18</c:v>
                </c:pt>
                <c:pt idx="2">
                  <c:v>3Q18</c:v>
                </c:pt>
                <c:pt idx="3">
                  <c:v>4Q18</c:v>
                </c:pt>
                <c:pt idx="4">
                  <c:v>1Q19</c:v>
                </c:pt>
                <c:pt idx="5">
                  <c:v>2Q19</c:v>
                </c:pt>
                <c:pt idx="6">
                  <c:v>3Q19</c:v>
                </c:pt>
                <c:pt idx="7">
                  <c:v>4Q19</c:v>
                </c:pt>
                <c:pt idx="8">
                  <c:v>1Q20</c:v>
                </c:pt>
                <c:pt idx="9">
                  <c:v>2Q20</c:v>
                </c:pt>
                <c:pt idx="10">
                  <c:v>3Q20</c:v>
                </c:pt>
                <c:pt idx="11">
                  <c:v>4Q20</c:v>
                </c:pt>
              </c:strCache>
            </c:strRef>
          </c:cat>
          <c:val>
            <c:numRef>
              <c:f>Excel_1!$C$10:$N$10</c:f>
              <c:numCache>
                <c:formatCode>#,##0</c:formatCode>
                <c:ptCount val="12"/>
                <c:pt idx="0">
                  <c:v>230.89729821292499</c:v>
                </c:pt>
                <c:pt idx="1">
                  <c:v>229.03849718221662</c:v>
                </c:pt>
                <c:pt idx="2">
                  <c:v>218.47827120475421</c:v>
                </c:pt>
                <c:pt idx="3">
                  <c:v>243.93176004359242</c:v>
                </c:pt>
                <c:pt idx="4">
                  <c:v>255.14283742653228</c:v>
                </c:pt>
                <c:pt idx="5">
                  <c:v>238.16837127578296</c:v>
                </c:pt>
                <c:pt idx="6">
                  <c:v>236.81863084419862</c:v>
                </c:pt>
                <c:pt idx="7">
                  <c:v>244.98074747799961</c:v>
                </c:pt>
                <c:pt idx="8">
                  <c:v>246.90898166611211</c:v>
                </c:pt>
                <c:pt idx="9">
                  <c:v>242.00253978150781</c:v>
                </c:pt>
                <c:pt idx="10">
                  <c:v>241.31244012658439</c:v>
                </c:pt>
                <c:pt idx="11">
                  <c:v>241.47927395986326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49-4562-BFA3-24CDBEEDD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11792"/>
        <c:axId val="13328848"/>
      </c:lineChart>
      <c:catAx>
        <c:axId val="1331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28848"/>
        <c:crosses val="autoZero"/>
        <c:auto val="1"/>
        <c:lblAlgn val="ctr"/>
        <c:lblOffset val="100"/>
        <c:noMultiLvlLbl val="0"/>
      </c:catAx>
      <c:valAx>
        <c:axId val="13328848"/>
        <c:scaling>
          <c:orientation val="minMax"/>
          <c:max val="260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311792"/>
        <c:crosses val="autoZero"/>
        <c:crossBetween val="between"/>
        <c:minorUnit val="60"/>
      </c:valAx>
      <c:valAx>
        <c:axId val="78486048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488544"/>
        <c:crosses val="max"/>
        <c:crossBetween val="between"/>
      </c:valAx>
      <c:catAx>
        <c:axId val="78488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486048"/>
        <c:crosses val="autoZero"/>
        <c:auto val="1"/>
        <c:lblAlgn val="ctr"/>
        <c:lblOffset val="100"/>
        <c:noMultiLvlLbl val="0"/>
      </c:catAx>
      <c:spPr>
        <a:noFill/>
        <a:ln cap="sq">
          <a:solidFill>
            <a:srgbClr val="C00000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Доходы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E0-4573-87D4-E9FA631B9F24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6E0-4573-87D4-E9FA631B9F24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E0-4573-87D4-E9FA631B9F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0CD416-2CEE-4582-9080-4D7EFF8FEE56}" type="VALUE">
                      <a:rPr lang="en-US">
                        <a:solidFill>
                          <a:srgbClr val="00B050"/>
                        </a:solidFill>
                      </a:rPr>
                      <a:pPr/>
                      <a:t>[ЗНАЧЕНИЕ]</a:t>
                    </a:fld>
                    <a:endParaRPr lang="ru-RU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46E0-4573-87D4-E9FA631B9F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PPT!$C$12:$T$12</c:f>
              <c:numCache>
                <c:formatCode>mmm\-yy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PPT!$C$13:$T$13</c:f>
              <c:numCache>
                <c:formatCode>_-* #\ ##0.0\ _₽_-;\-* #\ ##0.0\ _₽_-;_-* "-"??\ _₽_-;_-@_-</c:formatCode>
                <c:ptCount val="18"/>
                <c:pt idx="0">
                  <c:v>468</c:v>
                </c:pt>
                <c:pt idx="1">
                  <c:v>498.9</c:v>
                </c:pt>
                <c:pt idx="2">
                  <c:v>489.29999999999995</c:v>
                </c:pt>
                <c:pt idx="3">
                  <c:v>531.9</c:v>
                </c:pt>
                <c:pt idx="4">
                  <c:v>514.29999999999995</c:v>
                </c:pt>
                <c:pt idx="5">
                  <c:v>518.4</c:v>
                </c:pt>
                <c:pt idx="6">
                  <c:v>510.69999999999993</c:v>
                </c:pt>
                <c:pt idx="7">
                  <c:v>549.30000000000007</c:v>
                </c:pt>
                <c:pt idx="8">
                  <c:v>586.29999999999995</c:v>
                </c:pt>
                <c:pt idx="9">
                  <c:v>619.50000000000011</c:v>
                </c:pt>
                <c:pt idx="10">
                  <c:v>618.50000000000011</c:v>
                </c:pt>
                <c:pt idx="11">
                  <c:v>628.00000000000011</c:v>
                </c:pt>
                <c:pt idx="12">
                  <c:v>623.29999999999995</c:v>
                </c:pt>
                <c:pt idx="13">
                  <c:v>620.9</c:v>
                </c:pt>
                <c:pt idx="14">
                  <c:v>623.80000000000007</c:v>
                </c:pt>
                <c:pt idx="15">
                  <c:v>629.10000000000014</c:v>
                </c:pt>
                <c:pt idx="16">
                  <c:v>585.60000000000014</c:v>
                </c:pt>
                <c:pt idx="17">
                  <c:v>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E0-4573-87D4-E9FA631B9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83904"/>
        <c:axId val="19976832"/>
      </c:barChart>
      <c:dateAx>
        <c:axId val="1998390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76832"/>
        <c:crosses val="autoZero"/>
        <c:auto val="1"/>
        <c:lblOffset val="100"/>
        <c:baseTimeUnit val="months"/>
      </c:dateAx>
      <c:valAx>
        <c:axId val="19976832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\ _₽_-;\-* #\ ##0.0\ _₽_-;_-* &quot;-&quot;??\ _₽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83904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Себестоимость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3DC-482C-98ED-51E935FD328A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03DC-482C-98ED-51E935FD328A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DC-482C-98ED-51E935FD328A}"/>
                </c:ext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3DC-482C-98ED-51E935FD3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PPT!$C$12:$T$12</c:f>
              <c:numCache>
                <c:formatCode>mmm\-yy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PPT!$C$25:$T$25</c:f>
              <c:numCache>
                <c:formatCode>_-* #\ ##0.0\ _₽_-;\-* #\ ##0.0\ _₽_-;_-* "-"??\ _₽_-;_-@_-</c:formatCode>
                <c:ptCount val="18"/>
                <c:pt idx="0">
                  <c:v>340.32</c:v>
                </c:pt>
                <c:pt idx="1">
                  <c:v>364.154</c:v>
                </c:pt>
                <c:pt idx="2">
                  <c:v>373.44299999999998</c:v>
                </c:pt>
                <c:pt idx="3">
                  <c:v>428.39200000000005</c:v>
                </c:pt>
                <c:pt idx="4">
                  <c:v>371.3359999999999</c:v>
                </c:pt>
                <c:pt idx="5">
                  <c:v>373.47299999999996</c:v>
                </c:pt>
                <c:pt idx="6">
                  <c:v>369.27199999999993</c:v>
                </c:pt>
                <c:pt idx="7">
                  <c:v>440.5320000000001</c:v>
                </c:pt>
                <c:pt idx="8">
                  <c:v>446.73199999999997</c:v>
                </c:pt>
                <c:pt idx="9">
                  <c:v>495.60000000000008</c:v>
                </c:pt>
                <c:pt idx="10">
                  <c:v>473.78000000000003</c:v>
                </c:pt>
                <c:pt idx="11">
                  <c:v>454.38400000000001</c:v>
                </c:pt>
                <c:pt idx="12">
                  <c:v>450.37399999999997</c:v>
                </c:pt>
                <c:pt idx="13">
                  <c:v>445.59099999999989</c:v>
                </c:pt>
                <c:pt idx="14">
                  <c:v>502.56</c:v>
                </c:pt>
                <c:pt idx="15">
                  <c:v>476.86300000000006</c:v>
                </c:pt>
                <c:pt idx="16">
                  <c:v>419.6400000000001</c:v>
                </c:pt>
                <c:pt idx="17">
                  <c:v>406.04900000000004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DC-482C-98ED-51E935FD3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83904"/>
        <c:axId val="19976832"/>
      </c:barChart>
      <c:dateAx>
        <c:axId val="1998390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76832"/>
        <c:crosses val="autoZero"/>
        <c:auto val="1"/>
        <c:lblOffset val="100"/>
        <c:baseTimeUnit val="months"/>
      </c:dateAx>
      <c:valAx>
        <c:axId val="19976832"/>
        <c:scaling>
          <c:orientation val="minMax"/>
          <c:max val="5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\ _₽_-;\-* #\ ##0.0\ _₽_-;_-* &quot;-&quot;??\ _₽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83904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b="1"/>
              <a:t>Чистая прибыль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9525">
                <a:solidFill>
                  <a:schemeClr val="accent4">
                    <a:shade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6141424296402321E-2"/>
                  <c:y val="1.7988808694685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4B-4D22-8152-679B8E1B5265}"/>
                </c:ext>
              </c:extLst>
            </c:dLbl>
            <c:dLbl>
              <c:idx val="4"/>
              <c:layout>
                <c:manualLayout>
                  <c:x val="-2.0983851585323055E-2"/>
                  <c:y val="-2.398507825958039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4B-4D22-8152-679B8E1B5265}"/>
                </c:ext>
              </c:extLst>
            </c:dLbl>
            <c:dLbl>
              <c:idx val="5"/>
              <c:layout>
                <c:manualLayout>
                  <c:x val="-1.6141424296402898E-3"/>
                  <c:y val="-2.398507825958045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4B-4D22-8152-679B8E1B5265}"/>
                </c:ext>
              </c:extLst>
            </c:dLbl>
            <c:dLbl>
              <c:idx val="8"/>
              <c:layout>
                <c:manualLayout>
                  <c:x val="-9.6848545778415018E-3"/>
                  <c:y val="-3.29794826069230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4B-4D22-8152-679B8E1B5265}"/>
                </c:ext>
              </c:extLst>
            </c:dLbl>
            <c:dLbl>
              <c:idx val="11"/>
              <c:layout>
                <c:manualLayout>
                  <c:x val="-2.5826278874243689E-2"/>
                  <c:y val="-3.8975752171818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C4B-4D22-8152-679B8E1B5265}"/>
                </c:ext>
              </c:extLst>
            </c:dLbl>
            <c:dLbl>
              <c:idx val="12"/>
              <c:layout>
                <c:manualLayout>
                  <c:x val="-1.9369709155682768E-2"/>
                  <c:y val="3.89757521718182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4B-4D22-8152-679B8E1B5265}"/>
                </c:ext>
              </c:extLst>
            </c:dLbl>
            <c:dLbl>
              <c:idx val="13"/>
              <c:layout>
                <c:manualLayout>
                  <c:x val="-1.6141424296402307E-2"/>
                  <c:y val="-3.2979482606923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4B-4D22-8152-679B8E1B52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PPT!$C$12:$T$12</c:f>
              <c:numCache>
                <c:formatCode>mmm\-yy</c:formatCode>
                <c:ptCount val="18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  <c:pt idx="15">
                  <c:v>43191</c:v>
                </c:pt>
                <c:pt idx="16">
                  <c:v>43221</c:v>
                </c:pt>
                <c:pt idx="17">
                  <c:v>43252</c:v>
                </c:pt>
              </c:numCache>
            </c:numRef>
          </c:cat>
          <c:val>
            <c:numRef>
              <c:f>PPT!$C$42:$T$42</c:f>
              <c:numCache>
                <c:formatCode>_-* #\ ##0.0\ _₽_-;\-* #\ ##0.0\ _₽_-;_-* "-"?\ _₽_-;_-@_-</c:formatCode>
                <c:ptCount val="18"/>
                <c:pt idx="0">
                  <c:v>32.680000000000007</c:v>
                </c:pt>
                <c:pt idx="1">
                  <c:v>38.445999999999955</c:v>
                </c:pt>
                <c:pt idx="2">
                  <c:v>13.756999999999982</c:v>
                </c:pt>
                <c:pt idx="3">
                  <c:v>1.3079999999999021</c:v>
                </c:pt>
                <c:pt idx="4">
                  <c:v>45.364000000000033</c:v>
                </c:pt>
                <c:pt idx="5">
                  <c:v>45.827000000000019</c:v>
                </c:pt>
                <c:pt idx="6">
                  <c:v>35.627999999999986</c:v>
                </c:pt>
                <c:pt idx="7">
                  <c:v>0.16799999999991577</c:v>
                </c:pt>
                <c:pt idx="8">
                  <c:v>32.367999999999981</c:v>
                </c:pt>
                <c:pt idx="9">
                  <c:v>15.400000000000045</c:v>
                </c:pt>
                <c:pt idx="10">
                  <c:v>34.620000000000097</c:v>
                </c:pt>
                <c:pt idx="11">
                  <c:v>69.416000000000082</c:v>
                </c:pt>
                <c:pt idx="12">
                  <c:v>67.225999999999956</c:v>
                </c:pt>
                <c:pt idx="13">
                  <c:v>73.009000000000128</c:v>
                </c:pt>
                <c:pt idx="14">
                  <c:v>24.940000000000033</c:v>
                </c:pt>
                <c:pt idx="15">
                  <c:v>50.537000000000056</c:v>
                </c:pt>
                <c:pt idx="16">
                  <c:v>61.360000000000085</c:v>
                </c:pt>
                <c:pt idx="17">
                  <c:v>19.250999999999976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4B-4D22-8152-679B8E1B5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83904"/>
        <c:axId val="19976832"/>
      </c:lineChart>
      <c:dateAx>
        <c:axId val="1998390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76832"/>
        <c:crosses val="autoZero"/>
        <c:auto val="1"/>
        <c:lblOffset val="100"/>
        <c:baseTimeUnit val="months"/>
      </c:dateAx>
      <c:valAx>
        <c:axId val="199768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\ _₽_-;\-* #\ ##0.0\ _₽_-;_-* &quot;-&quot;?\ _₽_-;_-@_-" sourceLinked="1"/>
        <c:majorTickMark val="none"/>
        <c:minorTickMark val="in"/>
        <c:tickLblPos val="nextTo"/>
        <c:spPr>
          <a:noFill/>
          <a:ln>
            <a:solidFill>
              <a:schemeClr val="accent4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98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12</xdr:row>
      <xdr:rowOff>19050</xdr:rowOff>
    </xdr:from>
    <xdr:to>
      <xdr:col>8</xdr:col>
      <xdr:colOff>237492</xdr:colOff>
      <xdr:row>27</xdr:row>
      <xdr:rowOff>161550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" y="2371725"/>
          <a:ext cx="5066667" cy="3000000"/>
        </a:xfrm>
        <a:prstGeom prst="rect">
          <a:avLst/>
        </a:prstGeom>
      </xdr:spPr>
    </xdr:pic>
    <xdr:clientData/>
  </xdr:twoCellAnchor>
  <xdr:twoCellAnchor>
    <xdr:from>
      <xdr:col>10</xdr:col>
      <xdr:colOff>141110</xdr:colOff>
      <xdr:row>12</xdr:row>
      <xdr:rowOff>0</xdr:rowOff>
    </xdr:from>
    <xdr:to>
      <xdr:col>18</xdr:col>
      <xdr:colOff>592666</xdr:colOff>
      <xdr:row>27</xdr:row>
      <xdr:rowOff>148166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9E683A4-1556-4F10-9F6B-1AB8006A75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444499</xdr:colOff>
      <xdr:row>6</xdr:row>
      <xdr:rowOff>2909</xdr:rowOff>
    </xdr:from>
    <xdr:to>
      <xdr:col>33</xdr:col>
      <xdr:colOff>423334</xdr:colOff>
      <xdr:row>29</xdr:row>
      <xdr:rowOff>10583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30DE748-624D-48D1-9DB4-C9199E051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33</xdr:row>
      <xdr:rowOff>0</xdr:rowOff>
    </xdr:from>
    <xdr:to>
      <xdr:col>33</xdr:col>
      <xdr:colOff>586621</xdr:colOff>
      <xdr:row>56</xdr:row>
      <xdr:rowOff>16745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7447BC26-6EEF-4548-9CEA-2B93AFFA8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58</xdr:row>
      <xdr:rowOff>0</xdr:rowOff>
    </xdr:from>
    <xdr:to>
      <xdr:col>33</xdr:col>
      <xdr:colOff>586621</xdr:colOff>
      <xdr:row>81</xdr:row>
      <xdr:rowOff>16745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EB4ACA6-5EE8-4E4F-AB96-1DF9A6F8BE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CFFCC"/>
  </sheetPr>
  <dimension ref="B1:P11"/>
  <sheetViews>
    <sheetView topLeftCell="A7" zoomScale="90" zoomScaleNormal="90" workbookViewId="0">
      <selection activeCell="J19" sqref="J19"/>
    </sheetView>
  </sheetViews>
  <sheetFormatPr defaultRowHeight="14.5" x14ac:dyDescent="0.35"/>
  <cols>
    <col min="2" max="2" width="19.26953125" bestFit="1" customWidth="1"/>
  </cols>
  <sheetData>
    <row r="1" spans="2:16" ht="15" thickBot="1" x14ac:dyDescent="0.4"/>
    <row r="2" spans="2:16" ht="15" customHeight="1" thickTop="1" x14ac:dyDescent="0.35">
      <c r="B2" s="32" t="s">
        <v>0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4"/>
    </row>
    <row r="3" spans="2:16" x14ac:dyDescent="0.35">
      <c r="B3" s="35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7"/>
    </row>
    <row r="4" spans="2:16" x14ac:dyDescent="0.35">
      <c r="B4" s="35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7"/>
    </row>
    <row r="5" spans="2:16" x14ac:dyDescent="0.35">
      <c r="B5" s="35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7"/>
    </row>
    <row r="6" spans="2:16" ht="15" thickBot="1" x14ac:dyDescent="0.4">
      <c r="B6" s="38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40"/>
    </row>
    <row r="7" spans="2:16" ht="15" thickTop="1" x14ac:dyDescent="0.35"/>
    <row r="8" spans="2:16" ht="15.5" x14ac:dyDescent="0.35">
      <c r="B8" s="1"/>
      <c r="C8" s="2" t="s">
        <v>1</v>
      </c>
      <c r="D8" s="2" t="s">
        <v>2</v>
      </c>
      <c r="E8" s="2" t="s">
        <v>3</v>
      </c>
      <c r="F8" s="2" t="s">
        <v>4</v>
      </c>
      <c r="G8" s="2" t="s">
        <v>5</v>
      </c>
      <c r="H8" s="2" t="s">
        <v>6</v>
      </c>
      <c r="I8" s="2" t="s">
        <v>7</v>
      </c>
      <c r="J8" s="2" t="s">
        <v>8</v>
      </c>
      <c r="K8" s="2" t="s">
        <v>9</v>
      </c>
      <c r="L8" s="2" t="s">
        <v>10</v>
      </c>
      <c r="M8" s="2" t="s">
        <v>11</v>
      </c>
      <c r="N8" s="2" t="s">
        <v>12</v>
      </c>
    </row>
    <row r="9" spans="2:16" ht="15.5" x14ac:dyDescent="0.35">
      <c r="B9" s="3" t="s">
        <v>13</v>
      </c>
      <c r="C9" s="4">
        <v>150.89729821292499</v>
      </c>
      <c r="D9" s="4">
        <v>154.89729821292451</v>
      </c>
      <c r="E9" s="4">
        <v>167.77156037901796</v>
      </c>
      <c r="F9" s="4">
        <v>202.76921721227097</v>
      </c>
      <c r="G9" s="4">
        <v>196.06427574804417</v>
      </c>
      <c r="H9" s="4">
        <v>198.85342390611041</v>
      </c>
      <c r="I9" s="4">
        <v>218.03854298532801</v>
      </c>
      <c r="J9" s="4">
        <v>231.01638001265025</v>
      </c>
      <c r="K9" s="4">
        <v>234.59210660981785</v>
      </c>
      <c r="L9" s="4">
        <v>229.76865565936367</v>
      </c>
      <c r="M9" s="4">
        <v>229.54728151514146</v>
      </c>
      <c r="N9" s="4">
        <v>230.26561713775897</v>
      </c>
    </row>
    <row r="10" spans="2:16" ht="15.5" x14ac:dyDescent="0.35">
      <c r="B10" s="3" t="s">
        <v>14</v>
      </c>
      <c r="C10" s="4">
        <v>230.89729821292499</v>
      </c>
      <c r="D10" s="4">
        <v>229.03849718221662</v>
      </c>
      <c r="E10" s="4">
        <v>218.47827120475421</v>
      </c>
      <c r="F10" s="4">
        <v>243.93176004359242</v>
      </c>
      <c r="G10" s="4">
        <v>255.14283742653228</v>
      </c>
      <c r="H10" s="4">
        <v>238.16837127578296</v>
      </c>
      <c r="I10" s="4">
        <v>236.81863084419862</v>
      </c>
      <c r="J10" s="4">
        <v>244.98074747799961</v>
      </c>
      <c r="K10" s="4">
        <v>246.90898166611211</v>
      </c>
      <c r="L10" s="4">
        <v>242.00253978150781</v>
      </c>
      <c r="M10" s="4">
        <v>241.31244012658439</v>
      </c>
      <c r="N10" s="4">
        <v>241.47927395986326</v>
      </c>
    </row>
    <row r="11" spans="2:16" ht="15.5" x14ac:dyDescent="0.35">
      <c r="B11" s="3" t="s">
        <v>15</v>
      </c>
      <c r="C11" s="5"/>
      <c r="D11" s="5"/>
      <c r="E11" s="5"/>
      <c r="F11" s="5"/>
      <c r="G11" s="5">
        <f>G9/C9-1</f>
        <v>0.29932263910640677</v>
      </c>
      <c r="H11" s="5">
        <f>H9/D9-1</f>
        <v>0.2837759354121403</v>
      </c>
      <c r="I11" s="5">
        <f t="shared" ref="I11:N11" si="0">I9/E9-1</f>
        <v>0.29961563505012623</v>
      </c>
      <c r="J11" s="5">
        <f t="shared" si="0"/>
        <v>0.13930695787422431</v>
      </c>
      <c r="K11" s="5">
        <f t="shared" si="0"/>
        <v>0.19650612389625</v>
      </c>
      <c r="L11" s="5">
        <f t="shared" si="0"/>
        <v>0.15546743498794391</v>
      </c>
      <c r="M11" s="5">
        <f t="shared" si="0"/>
        <v>5.2783046392801625E-2</v>
      </c>
      <c r="N11" s="5">
        <f t="shared" si="0"/>
        <v>-3.2498252931250082E-3</v>
      </c>
    </row>
  </sheetData>
  <mergeCells count="1">
    <mergeCell ref="B2:P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CFFCC"/>
  </sheetPr>
  <dimension ref="A1:P225"/>
  <sheetViews>
    <sheetView topLeftCell="A4" workbookViewId="0">
      <selection activeCell="K14" sqref="K14"/>
    </sheetView>
  </sheetViews>
  <sheetFormatPr defaultRowHeight="14.5" x14ac:dyDescent="0.35"/>
  <cols>
    <col min="2" max="2" width="9.1796875" customWidth="1"/>
    <col min="3" max="3" width="10.26953125" customWidth="1"/>
    <col min="9" max="9" width="9.1796875" customWidth="1"/>
    <col min="10" max="10" width="10.26953125" customWidth="1"/>
    <col min="11" max="12" width="9.1796875" customWidth="1"/>
    <col min="13" max="13" width="10" customWidth="1"/>
    <col min="15" max="15" width="10" customWidth="1"/>
  </cols>
  <sheetData>
    <row r="1" spans="1:16" ht="15" thickBot="1" x14ac:dyDescent="0.4"/>
    <row r="2" spans="1:16" ht="15" thickTop="1" x14ac:dyDescent="0.35">
      <c r="B2" s="41" t="s">
        <v>78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3"/>
    </row>
    <row r="3" spans="1:16" x14ac:dyDescent="0.35">
      <c r="B3" s="44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6"/>
    </row>
    <row r="4" spans="1:16" x14ac:dyDescent="0.35">
      <c r="B4" s="44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6"/>
    </row>
    <row r="5" spans="1:16" x14ac:dyDescent="0.35">
      <c r="B5" s="44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6"/>
    </row>
    <row r="6" spans="1:16" ht="15" thickBot="1" x14ac:dyDescent="0.4">
      <c r="B6" s="47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9"/>
    </row>
    <row r="7" spans="1:16" ht="15" thickTop="1" x14ac:dyDescent="0.35"/>
    <row r="12" spans="1:16" x14ac:dyDescent="0.35">
      <c r="A12" s="18" t="s">
        <v>51</v>
      </c>
      <c r="J12" s="18" t="s">
        <v>52</v>
      </c>
    </row>
    <row r="13" spans="1:16" x14ac:dyDescent="0.35">
      <c r="A13" s="6" t="s">
        <v>16</v>
      </c>
      <c r="B13" s="6" t="s">
        <v>17</v>
      </c>
      <c r="C13" s="6" t="s">
        <v>18</v>
      </c>
      <c r="D13" s="6" t="s">
        <v>19</v>
      </c>
      <c r="E13" s="6" t="s">
        <v>20</v>
      </c>
      <c r="F13" s="6" t="s">
        <v>21</v>
      </c>
      <c r="G13" s="6" t="s">
        <v>22</v>
      </c>
      <c r="H13" s="6" t="s">
        <v>23</v>
      </c>
      <c r="J13" s="6" t="s">
        <v>16</v>
      </c>
      <c r="K13" s="6">
        <v>2014</v>
      </c>
      <c r="L13" s="6">
        <v>2015</v>
      </c>
      <c r="M13" s="6">
        <v>2016</v>
      </c>
      <c r="N13" s="6">
        <v>2017</v>
      </c>
      <c r="O13" s="6">
        <v>2018</v>
      </c>
    </row>
    <row r="14" spans="1:16" x14ac:dyDescent="0.35">
      <c r="A14" s="7">
        <v>2014</v>
      </c>
      <c r="B14" s="7" t="s">
        <v>24</v>
      </c>
      <c r="C14" s="7" t="s">
        <v>25</v>
      </c>
      <c r="D14" s="8">
        <f>SUMIFS($G$26:$G$225,Статья,C14,Вид,B14,Год,A14)</f>
        <v>20126</v>
      </c>
      <c r="E14" s="8">
        <f>SUMIFS($I$26:$I$225,Статья,C14,Вид,B14,Год,A14)</f>
        <v>13534</v>
      </c>
      <c r="F14" s="8">
        <f>SUMIFS($L$26:$L$225,Статья,C14,Вид,B14,Год,A14)</f>
        <v>27466</v>
      </c>
      <c r="G14" s="8">
        <f>SUMIFS($F$26:$F$225,Статья,C14,Вид,B14,Год,A14)</f>
        <v>15865</v>
      </c>
      <c r="H14" s="8">
        <f>SUMIFS($H$26:$H$225,Статья,C14,Вид,B14,Год,A14)</f>
        <v>14955</v>
      </c>
      <c r="J14" s="7" t="s">
        <v>25</v>
      </c>
      <c r="K14" s="8" t="str">
        <f t="shared" ref="K14:O16" si="0">IF(COUNTIFS(Год,K$13,Статья,$J14,Бизнес,"m") * COUNTIFS(Год,K$13,Статья,$J14,Бизнес,"f") * COUNTIFS(Год,K$13,Статья,$J14,Бизнес,"r")=0, "Нет", "")</f>
        <v/>
      </c>
      <c r="L14" s="8" t="str">
        <f t="shared" si="0"/>
        <v/>
      </c>
      <c r="M14" s="8" t="str">
        <f t="shared" si="0"/>
        <v/>
      </c>
      <c r="N14" s="8" t="str">
        <f t="shared" si="0"/>
        <v/>
      </c>
      <c r="O14" s="8" t="str">
        <f t="shared" si="0"/>
        <v/>
      </c>
    </row>
    <row r="15" spans="1:16" x14ac:dyDescent="0.35">
      <c r="A15" s="7">
        <v>2015</v>
      </c>
      <c r="B15" s="7" t="s">
        <v>26</v>
      </c>
      <c r="C15" s="7" t="s">
        <v>27</v>
      </c>
      <c r="D15" s="8">
        <f>SUMIFS($G$26:$G$225,Статья,C15,Вид,B15,Год,A15)</f>
        <v>7502</v>
      </c>
      <c r="E15" s="8">
        <f>SUMIFS($I$26:$I$225,Статья,C15,Вид,B15,Год,A15)</f>
        <v>14064</v>
      </c>
      <c r="F15" s="8">
        <f>SUMIFS($L$26:$L$225,Статья,C15,Вид,B15,Год,A15)</f>
        <v>14770</v>
      </c>
      <c r="G15" s="8">
        <f>SUMIFS($F$26:$F$225,Статья,C15,Вид,B15,Год,A15)</f>
        <v>12359</v>
      </c>
      <c r="H15" s="8">
        <f>SUMIFS($H$26:$H$225,Статья,C15,Вид,B15,Год,A15)</f>
        <v>9462</v>
      </c>
      <c r="J15" s="7" t="s">
        <v>27</v>
      </c>
      <c r="K15" s="8" t="str">
        <f t="shared" si="0"/>
        <v/>
      </c>
      <c r="L15" s="8" t="str">
        <f t="shared" si="0"/>
        <v/>
      </c>
      <c r="M15" s="8" t="str">
        <f t="shared" si="0"/>
        <v/>
      </c>
      <c r="N15" s="8" t="str">
        <f t="shared" si="0"/>
        <v/>
      </c>
      <c r="O15" s="8" t="str">
        <f t="shared" si="0"/>
        <v/>
      </c>
    </row>
    <row r="16" spans="1:16" x14ac:dyDescent="0.35">
      <c r="A16" s="7">
        <v>2016</v>
      </c>
      <c r="B16" s="7" t="s">
        <v>28</v>
      </c>
      <c r="C16" s="9" t="s">
        <v>29</v>
      </c>
      <c r="D16" s="8">
        <f>SUMIFS($G$26:$G$225,Статья,C16,Вид,B16,Год,A16)</f>
        <v>3462</v>
      </c>
      <c r="E16" s="8">
        <f>SUMIFS($I$26:$I$225,Статья,C16,Вид,B16,Год,A16)</f>
        <v>1697</v>
      </c>
      <c r="F16" s="8">
        <f>SUMIFS($L$26:$L$225,Статья,C16,Вид,B16,Год,A16)</f>
        <v>5530</v>
      </c>
      <c r="G16" s="8">
        <f>SUMIFS($F$26:$F$225,Статья,C16,Вид,B16,Год,A16)</f>
        <v>6778</v>
      </c>
      <c r="H16" s="8">
        <f>SUMIFS($H$26:$H$225,Статья,C16,Вид,B16,Год,A16)</f>
        <v>7675</v>
      </c>
      <c r="J16" s="7" t="s">
        <v>29</v>
      </c>
      <c r="K16" s="8" t="str">
        <f t="shared" si="0"/>
        <v/>
      </c>
      <c r="L16" s="8" t="str">
        <f t="shared" si="0"/>
        <v>Нет</v>
      </c>
      <c r="M16" s="8" t="str">
        <f t="shared" si="0"/>
        <v/>
      </c>
      <c r="N16" s="8" t="str">
        <f t="shared" si="0"/>
        <v/>
      </c>
      <c r="O16" s="8" t="str">
        <f t="shared" si="0"/>
        <v/>
      </c>
    </row>
    <row r="17" spans="1:12" x14ac:dyDescent="0.35">
      <c r="A17" s="7">
        <v>2017</v>
      </c>
      <c r="B17" s="7" t="s">
        <v>30</v>
      </c>
      <c r="C17" s="7" t="s">
        <v>25</v>
      </c>
      <c r="D17" s="8">
        <f>SUMIFS($G$26:$G$225,Статья,C17,Вид,B17,Год,A17)</f>
        <v>2451</v>
      </c>
      <c r="E17" s="8">
        <f>SUMIFS($I$26:$I$225,Статья,C17,Вид,B17,Год,A17)</f>
        <v>7402</v>
      </c>
      <c r="F17" s="8">
        <f>SUMIFS($L$26:$L$225,Статья,C17,Вид,B17,Год,A17)</f>
        <v>8961</v>
      </c>
      <c r="G17" s="8">
        <f>SUMIFS($F$26:$F$225,Статья,C17,Вид,B17,Год,A17)</f>
        <v>2306</v>
      </c>
      <c r="H17" s="8">
        <f>SUMIFS($H$26:$H$225,Статья,C17,Вид,B17,Год,A17)</f>
        <v>6866</v>
      </c>
    </row>
    <row r="18" spans="1:12" x14ac:dyDescent="0.35">
      <c r="A18" s="7">
        <v>2018</v>
      </c>
      <c r="B18" s="7" t="s">
        <v>31</v>
      </c>
      <c r="C18" s="7" t="s">
        <v>27</v>
      </c>
      <c r="D18" s="8">
        <f>SUMIFS($G$26:$G$225,Статья,C18,Вид,B18,Год,A18)</f>
        <v>17265</v>
      </c>
      <c r="E18" s="8">
        <f>SUMIFS($I$26:$I$225,Статья,C18,Вид,B18,Год,A18)</f>
        <v>16305</v>
      </c>
      <c r="F18" s="8">
        <f>SUMIFS($L$26:$L$225,Статья,C18,Вид,B18,Год,A18)</f>
        <v>22842</v>
      </c>
      <c r="G18" s="8">
        <f>SUMIFS($F$26:$F$225,Статья,C18,Вид,B18,Год,A18)</f>
        <v>23198</v>
      </c>
      <c r="H18" s="8">
        <f>SUMIFS($H$26:$H$225,Статья,C18,Вид,B18,Год,A18)</f>
        <v>17159</v>
      </c>
    </row>
    <row r="19" spans="1:12" x14ac:dyDescent="0.35">
      <c r="B19" s="9"/>
    </row>
    <row r="20" spans="1:12" x14ac:dyDescent="0.35">
      <c r="B20" s="9"/>
    </row>
    <row r="21" spans="1:12" x14ac:dyDescent="0.35">
      <c r="B21" s="9"/>
    </row>
    <row r="25" spans="1:12" x14ac:dyDescent="0.35">
      <c r="A25" s="6" t="s">
        <v>32</v>
      </c>
      <c r="B25" s="6" t="s">
        <v>16</v>
      </c>
      <c r="C25" s="6" t="s">
        <v>17</v>
      </c>
      <c r="D25" s="6" t="s">
        <v>18</v>
      </c>
      <c r="E25" s="6" t="s">
        <v>33</v>
      </c>
      <c r="F25" s="6" t="s">
        <v>22</v>
      </c>
      <c r="G25" s="6" t="s">
        <v>19</v>
      </c>
      <c r="H25" s="6" t="s">
        <v>23</v>
      </c>
      <c r="I25" s="6" t="s">
        <v>20</v>
      </c>
      <c r="J25" s="6" t="s">
        <v>34</v>
      </c>
      <c r="K25" s="6" t="s">
        <v>35</v>
      </c>
      <c r="L25" s="6" t="s">
        <v>21</v>
      </c>
    </row>
    <row r="26" spans="1:12" x14ac:dyDescent="0.35">
      <c r="A26" s="10" t="s">
        <v>36</v>
      </c>
      <c r="B26" s="11">
        <v>2016</v>
      </c>
      <c r="C26" s="11" t="s">
        <v>24</v>
      </c>
      <c r="D26" s="11" t="s">
        <v>25</v>
      </c>
      <c r="E26" s="11" t="s">
        <v>37</v>
      </c>
      <c r="F26" s="11">
        <v>7119</v>
      </c>
      <c r="G26" s="11">
        <v>8530</v>
      </c>
      <c r="H26" s="11">
        <v>4471</v>
      </c>
      <c r="I26" s="11">
        <v>8534</v>
      </c>
      <c r="J26" s="11">
        <v>7839</v>
      </c>
      <c r="K26" s="11">
        <v>9871</v>
      </c>
      <c r="L26" s="12">
        <v>6571</v>
      </c>
    </row>
    <row r="27" spans="1:12" x14ac:dyDescent="0.35">
      <c r="A27" s="13" t="s">
        <v>38</v>
      </c>
      <c r="B27" s="9">
        <v>2018</v>
      </c>
      <c r="C27" s="9" t="s">
        <v>31</v>
      </c>
      <c r="D27" s="9" t="s">
        <v>25</v>
      </c>
      <c r="E27" s="9" t="s">
        <v>37</v>
      </c>
      <c r="F27" s="9">
        <v>4599</v>
      </c>
      <c r="G27" s="9">
        <v>5172</v>
      </c>
      <c r="H27" s="9">
        <v>6068</v>
      </c>
      <c r="I27" s="9">
        <v>4389</v>
      </c>
      <c r="J27" s="9">
        <v>8973</v>
      </c>
      <c r="K27" s="9">
        <v>3070</v>
      </c>
      <c r="L27" s="14">
        <v>348</v>
      </c>
    </row>
    <row r="28" spans="1:12" x14ac:dyDescent="0.35">
      <c r="A28" s="13" t="s">
        <v>38</v>
      </c>
      <c r="B28" s="9">
        <v>2016</v>
      </c>
      <c r="C28" s="9" t="s">
        <v>30</v>
      </c>
      <c r="D28" s="9" t="s">
        <v>25</v>
      </c>
      <c r="E28" s="9" t="s">
        <v>37</v>
      </c>
      <c r="F28" s="9">
        <v>3056</v>
      </c>
      <c r="G28" s="9">
        <v>8972</v>
      </c>
      <c r="H28" s="9">
        <v>2399</v>
      </c>
      <c r="I28" s="9">
        <v>8962</v>
      </c>
      <c r="J28" s="9">
        <v>6420</v>
      </c>
      <c r="K28" s="9">
        <v>6280</v>
      </c>
      <c r="L28" s="14">
        <v>7814</v>
      </c>
    </row>
    <row r="29" spans="1:12" x14ac:dyDescent="0.35">
      <c r="A29" s="13" t="s">
        <v>39</v>
      </c>
      <c r="B29" s="9">
        <v>2017</v>
      </c>
      <c r="C29" s="9" t="s">
        <v>28</v>
      </c>
      <c r="D29" s="9" t="s">
        <v>27</v>
      </c>
      <c r="E29" s="9" t="s">
        <v>40</v>
      </c>
      <c r="F29" s="9">
        <v>286</v>
      </c>
      <c r="G29" s="9">
        <v>5105</v>
      </c>
      <c r="H29" s="9">
        <v>1589</v>
      </c>
      <c r="I29" s="9">
        <v>3903</v>
      </c>
      <c r="J29" s="9">
        <v>6894</v>
      </c>
      <c r="K29" s="9">
        <v>4471</v>
      </c>
      <c r="L29" s="14">
        <v>8915</v>
      </c>
    </row>
    <row r="30" spans="1:12" x14ac:dyDescent="0.35">
      <c r="A30" s="13" t="s">
        <v>41</v>
      </c>
      <c r="B30" s="9">
        <v>2016</v>
      </c>
      <c r="C30" s="9" t="s">
        <v>28</v>
      </c>
      <c r="D30" s="9" t="s">
        <v>27</v>
      </c>
      <c r="E30" s="9" t="s">
        <v>40</v>
      </c>
      <c r="F30" s="9">
        <v>6293</v>
      </c>
      <c r="G30" s="9">
        <v>6786</v>
      </c>
      <c r="H30" s="9">
        <v>5663</v>
      </c>
      <c r="I30" s="9">
        <v>1988</v>
      </c>
      <c r="J30" s="9">
        <v>7828</v>
      </c>
      <c r="K30" s="9">
        <v>7148</v>
      </c>
      <c r="L30" s="14">
        <v>4935</v>
      </c>
    </row>
    <row r="31" spans="1:12" x14ac:dyDescent="0.35">
      <c r="A31" s="13" t="s">
        <v>41</v>
      </c>
      <c r="B31" s="9">
        <v>2016</v>
      </c>
      <c r="C31" s="9" t="s">
        <v>30</v>
      </c>
      <c r="D31" s="9" t="s">
        <v>25</v>
      </c>
      <c r="E31" s="9" t="s">
        <v>37</v>
      </c>
      <c r="F31" s="9">
        <v>6656</v>
      </c>
      <c r="G31" s="9">
        <v>6790</v>
      </c>
      <c r="H31" s="9">
        <v>2183</v>
      </c>
      <c r="I31" s="9">
        <v>9368</v>
      </c>
      <c r="J31" s="9">
        <v>1168</v>
      </c>
      <c r="K31" s="9">
        <v>8669</v>
      </c>
      <c r="L31" s="14">
        <v>974</v>
      </c>
    </row>
    <row r="32" spans="1:12" x14ac:dyDescent="0.35">
      <c r="A32" s="13" t="s">
        <v>38</v>
      </c>
      <c r="B32" s="9">
        <v>2014</v>
      </c>
      <c r="C32" s="9" t="s">
        <v>30</v>
      </c>
      <c r="D32" s="9" t="s">
        <v>25</v>
      </c>
      <c r="E32" s="9" t="s">
        <v>37</v>
      </c>
      <c r="F32" s="9">
        <v>7046</v>
      </c>
      <c r="G32" s="9">
        <v>5409</v>
      </c>
      <c r="H32" s="9">
        <v>5336</v>
      </c>
      <c r="I32" s="9">
        <v>7517</v>
      </c>
      <c r="J32" s="9">
        <v>5608</v>
      </c>
      <c r="K32" s="9">
        <v>1250</v>
      </c>
      <c r="L32" s="14">
        <v>2178</v>
      </c>
    </row>
    <row r="33" spans="1:12" x14ac:dyDescent="0.35">
      <c r="A33" s="13" t="s">
        <v>36</v>
      </c>
      <c r="B33" s="9">
        <v>2017</v>
      </c>
      <c r="C33" s="9" t="s">
        <v>26</v>
      </c>
      <c r="D33" s="9" t="s">
        <v>25</v>
      </c>
      <c r="E33" s="9" t="s">
        <v>42</v>
      </c>
      <c r="F33" s="9">
        <v>5419</v>
      </c>
      <c r="G33" s="9">
        <v>402</v>
      </c>
      <c r="H33" s="9">
        <v>9826</v>
      </c>
      <c r="I33" s="9">
        <v>6913</v>
      </c>
      <c r="J33" s="9">
        <v>2660</v>
      </c>
      <c r="K33" s="9">
        <v>7676</v>
      </c>
      <c r="L33" s="14">
        <v>6525</v>
      </c>
    </row>
    <row r="34" spans="1:12" x14ac:dyDescent="0.35">
      <c r="A34" s="13" t="s">
        <v>43</v>
      </c>
      <c r="B34" s="9">
        <v>2018</v>
      </c>
      <c r="C34" s="9" t="s">
        <v>30</v>
      </c>
      <c r="D34" s="9" t="s">
        <v>29</v>
      </c>
      <c r="E34" s="9" t="s">
        <v>37</v>
      </c>
      <c r="F34" s="9">
        <v>3296</v>
      </c>
      <c r="G34" s="9">
        <v>8582</v>
      </c>
      <c r="H34" s="9">
        <v>1268</v>
      </c>
      <c r="I34" s="9">
        <v>7086</v>
      </c>
      <c r="J34" s="9">
        <v>8269</v>
      </c>
      <c r="K34" s="9">
        <v>8819</v>
      </c>
      <c r="L34" s="14">
        <v>3700</v>
      </c>
    </row>
    <row r="35" spans="1:12" x14ac:dyDescent="0.35">
      <c r="A35" s="13" t="s">
        <v>41</v>
      </c>
      <c r="B35" s="9">
        <v>2017</v>
      </c>
      <c r="C35" s="9" t="s">
        <v>24</v>
      </c>
      <c r="D35" s="9" t="s">
        <v>29</v>
      </c>
      <c r="E35" s="9" t="s">
        <v>40</v>
      </c>
      <c r="F35" s="9">
        <v>7173</v>
      </c>
      <c r="G35" s="9">
        <v>6012</v>
      </c>
      <c r="H35" s="9">
        <v>6159</v>
      </c>
      <c r="I35" s="9">
        <v>1958</v>
      </c>
      <c r="J35" s="9">
        <v>3575</v>
      </c>
      <c r="K35" s="9">
        <v>5108</v>
      </c>
      <c r="L35" s="14">
        <v>7849</v>
      </c>
    </row>
    <row r="36" spans="1:12" x14ac:dyDescent="0.35">
      <c r="A36" s="13" t="s">
        <v>41</v>
      </c>
      <c r="B36" s="9">
        <v>2014</v>
      </c>
      <c r="C36" s="9" t="s">
        <v>30</v>
      </c>
      <c r="D36" s="9" t="s">
        <v>29</v>
      </c>
      <c r="E36" s="9" t="s">
        <v>40</v>
      </c>
      <c r="F36" s="9">
        <v>5367</v>
      </c>
      <c r="G36" s="9">
        <v>8286</v>
      </c>
      <c r="H36" s="9">
        <v>9188</v>
      </c>
      <c r="I36" s="9">
        <v>2608</v>
      </c>
      <c r="J36" s="9">
        <v>5777</v>
      </c>
      <c r="K36" s="9">
        <v>5295</v>
      </c>
      <c r="L36" s="14">
        <v>370</v>
      </c>
    </row>
    <row r="37" spans="1:12" x14ac:dyDescent="0.35">
      <c r="A37" s="13" t="s">
        <v>43</v>
      </c>
      <c r="B37" s="9">
        <v>2016</v>
      </c>
      <c r="C37" s="9" t="s">
        <v>26</v>
      </c>
      <c r="D37" s="9" t="s">
        <v>29</v>
      </c>
      <c r="E37" s="9" t="s">
        <v>42</v>
      </c>
      <c r="F37" s="9">
        <v>4844</v>
      </c>
      <c r="G37" s="9">
        <v>8112</v>
      </c>
      <c r="H37" s="9">
        <v>7872</v>
      </c>
      <c r="I37" s="9">
        <v>1737</v>
      </c>
      <c r="J37" s="9">
        <v>8113</v>
      </c>
      <c r="K37" s="9">
        <v>8528</v>
      </c>
      <c r="L37" s="14">
        <v>9202</v>
      </c>
    </row>
    <row r="38" spans="1:12" x14ac:dyDescent="0.35">
      <c r="A38" s="13" t="s">
        <v>44</v>
      </c>
      <c r="B38" s="9">
        <v>2017</v>
      </c>
      <c r="C38" s="9" t="s">
        <v>24</v>
      </c>
      <c r="D38" s="9" t="s">
        <v>27</v>
      </c>
      <c r="E38" s="9" t="s">
        <v>37</v>
      </c>
      <c r="F38" s="9">
        <v>9587</v>
      </c>
      <c r="G38" s="9">
        <v>7422</v>
      </c>
      <c r="H38" s="9">
        <v>6093</v>
      </c>
      <c r="I38" s="9">
        <v>242</v>
      </c>
      <c r="J38" s="9">
        <v>2441</v>
      </c>
      <c r="K38" s="9">
        <v>1981</v>
      </c>
      <c r="L38" s="14">
        <v>9275</v>
      </c>
    </row>
    <row r="39" spans="1:12" x14ac:dyDescent="0.35">
      <c r="A39" s="13" t="s">
        <v>41</v>
      </c>
      <c r="B39" s="9">
        <v>2018</v>
      </c>
      <c r="C39" s="9" t="s">
        <v>24</v>
      </c>
      <c r="D39" s="9" t="s">
        <v>27</v>
      </c>
      <c r="E39" s="9" t="s">
        <v>37</v>
      </c>
      <c r="F39" s="9">
        <v>2650</v>
      </c>
      <c r="G39" s="9">
        <v>4524</v>
      </c>
      <c r="H39" s="9">
        <v>5104</v>
      </c>
      <c r="I39" s="9">
        <v>699</v>
      </c>
      <c r="J39" s="9">
        <v>6439</v>
      </c>
      <c r="K39" s="9">
        <v>1986</v>
      </c>
      <c r="L39" s="14">
        <v>7144</v>
      </c>
    </row>
    <row r="40" spans="1:12" x14ac:dyDescent="0.35">
      <c r="A40" s="13" t="s">
        <v>36</v>
      </c>
      <c r="B40" s="9">
        <v>2014</v>
      </c>
      <c r="C40" s="9" t="s">
        <v>31</v>
      </c>
      <c r="D40" s="9" t="s">
        <v>29</v>
      </c>
      <c r="E40" s="9" t="s">
        <v>37</v>
      </c>
      <c r="F40" s="9">
        <v>1645</v>
      </c>
      <c r="G40" s="9">
        <v>5906</v>
      </c>
      <c r="H40" s="9">
        <v>430</v>
      </c>
      <c r="I40" s="9">
        <v>5730</v>
      </c>
      <c r="J40" s="9">
        <v>9213</v>
      </c>
      <c r="K40" s="9">
        <v>945</v>
      </c>
      <c r="L40" s="14">
        <v>379</v>
      </c>
    </row>
    <row r="41" spans="1:12" x14ac:dyDescent="0.35">
      <c r="A41" s="13" t="s">
        <v>43</v>
      </c>
      <c r="B41" s="9">
        <v>2018</v>
      </c>
      <c r="C41" s="9" t="s">
        <v>31</v>
      </c>
      <c r="D41" s="9" t="s">
        <v>25</v>
      </c>
      <c r="E41" s="9" t="s">
        <v>42</v>
      </c>
      <c r="F41" s="9">
        <v>3638</v>
      </c>
      <c r="G41" s="9">
        <v>8143</v>
      </c>
      <c r="H41" s="9">
        <v>9261</v>
      </c>
      <c r="I41" s="9">
        <v>5208</v>
      </c>
      <c r="J41" s="9">
        <v>2181</v>
      </c>
      <c r="K41" s="9">
        <v>6499</v>
      </c>
      <c r="L41" s="14">
        <v>858</v>
      </c>
    </row>
    <row r="42" spans="1:12" x14ac:dyDescent="0.35">
      <c r="A42" s="13" t="s">
        <v>39</v>
      </c>
      <c r="B42" s="9">
        <v>2014</v>
      </c>
      <c r="C42" s="9" t="s">
        <v>30</v>
      </c>
      <c r="D42" s="9" t="s">
        <v>29</v>
      </c>
      <c r="E42" s="9" t="s">
        <v>37</v>
      </c>
      <c r="F42" s="9">
        <v>3046</v>
      </c>
      <c r="G42" s="9">
        <v>3235</v>
      </c>
      <c r="H42" s="9">
        <v>1184</v>
      </c>
      <c r="I42" s="9">
        <v>8126</v>
      </c>
      <c r="J42" s="9">
        <v>2115</v>
      </c>
      <c r="K42" s="9">
        <v>149</v>
      </c>
      <c r="L42" s="14">
        <v>4563</v>
      </c>
    </row>
    <row r="43" spans="1:12" x14ac:dyDescent="0.35">
      <c r="A43" s="13" t="s">
        <v>36</v>
      </c>
      <c r="B43" s="9">
        <v>2015</v>
      </c>
      <c r="C43" s="9" t="s">
        <v>24</v>
      </c>
      <c r="D43" s="9" t="s">
        <v>27</v>
      </c>
      <c r="E43" s="9" t="s">
        <v>40</v>
      </c>
      <c r="F43" s="9">
        <v>367</v>
      </c>
      <c r="G43" s="9">
        <v>1423</v>
      </c>
      <c r="H43" s="9">
        <v>8530</v>
      </c>
      <c r="I43" s="9">
        <v>5731</v>
      </c>
      <c r="J43" s="9">
        <v>4473</v>
      </c>
      <c r="K43" s="9">
        <v>1411</v>
      </c>
      <c r="L43" s="14">
        <v>6926</v>
      </c>
    </row>
    <row r="44" spans="1:12" x14ac:dyDescent="0.35">
      <c r="A44" s="13" t="s">
        <v>44</v>
      </c>
      <c r="B44" s="9">
        <v>2017</v>
      </c>
      <c r="C44" s="9" t="s">
        <v>24</v>
      </c>
      <c r="D44" s="9" t="s">
        <v>27</v>
      </c>
      <c r="E44" s="9" t="s">
        <v>40</v>
      </c>
      <c r="F44" s="9">
        <v>3027</v>
      </c>
      <c r="G44" s="9">
        <v>5006</v>
      </c>
      <c r="H44" s="9">
        <v>8212</v>
      </c>
      <c r="I44" s="9">
        <v>4451</v>
      </c>
      <c r="J44" s="9">
        <v>3033</v>
      </c>
      <c r="K44" s="9">
        <v>9327</v>
      </c>
      <c r="L44" s="14">
        <v>5986</v>
      </c>
    </row>
    <row r="45" spans="1:12" x14ac:dyDescent="0.35">
      <c r="A45" s="13" t="s">
        <v>45</v>
      </c>
      <c r="B45" s="9">
        <v>2016</v>
      </c>
      <c r="C45" s="9" t="s">
        <v>24</v>
      </c>
      <c r="D45" s="9" t="s">
        <v>25</v>
      </c>
      <c r="E45" s="9" t="s">
        <v>40</v>
      </c>
      <c r="F45" s="9">
        <v>1704</v>
      </c>
      <c r="G45" s="9">
        <v>3820</v>
      </c>
      <c r="H45" s="9">
        <v>665</v>
      </c>
      <c r="I45" s="9">
        <v>8068</v>
      </c>
      <c r="J45" s="9">
        <v>8036</v>
      </c>
      <c r="K45" s="9">
        <v>9440</v>
      </c>
      <c r="L45" s="14">
        <v>2426</v>
      </c>
    </row>
    <row r="46" spans="1:12" x14ac:dyDescent="0.35">
      <c r="A46" s="13" t="s">
        <v>46</v>
      </c>
      <c r="B46" s="9">
        <v>2016</v>
      </c>
      <c r="C46" s="9" t="s">
        <v>30</v>
      </c>
      <c r="D46" s="9" t="s">
        <v>25</v>
      </c>
      <c r="E46" s="9" t="s">
        <v>40</v>
      </c>
      <c r="F46" s="9">
        <v>9188</v>
      </c>
      <c r="G46" s="9">
        <v>6777</v>
      </c>
      <c r="H46" s="9">
        <v>5351</v>
      </c>
      <c r="I46" s="9">
        <v>7084</v>
      </c>
      <c r="J46" s="9">
        <v>2177</v>
      </c>
      <c r="K46" s="9">
        <v>9486</v>
      </c>
      <c r="L46" s="14">
        <v>3834</v>
      </c>
    </row>
    <row r="47" spans="1:12" x14ac:dyDescent="0.35">
      <c r="A47" s="13" t="s">
        <v>36</v>
      </c>
      <c r="B47" s="9">
        <v>2015</v>
      </c>
      <c r="C47" s="9" t="s">
        <v>26</v>
      </c>
      <c r="D47" s="9" t="s">
        <v>29</v>
      </c>
      <c r="E47" s="9" t="s">
        <v>40</v>
      </c>
      <c r="F47" s="9">
        <v>2567</v>
      </c>
      <c r="G47" s="9">
        <v>7497</v>
      </c>
      <c r="H47" s="9">
        <v>9749</v>
      </c>
      <c r="I47" s="9">
        <v>9529</v>
      </c>
      <c r="J47" s="9">
        <v>4566</v>
      </c>
      <c r="K47" s="9">
        <v>9456</v>
      </c>
      <c r="L47" s="14">
        <v>9163</v>
      </c>
    </row>
    <row r="48" spans="1:12" x14ac:dyDescent="0.35">
      <c r="A48" s="13" t="s">
        <v>46</v>
      </c>
      <c r="B48" s="9">
        <v>2014</v>
      </c>
      <c r="C48" s="9" t="s">
        <v>24</v>
      </c>
      <c r="D48" s="9" t="s">
        <v>27</v>
      </c>
      <c r="E48" s="9" t="s">
        <v>37</v>
      </c>
      <c r="F48" s="9">
        <v>4232</v>
      </c>
      <c r="G48" s="9">
        <v>6811</v>
      </c>
      <c r="H48" s="9">
        <v>5322</v>
      </c>
      <c r="I48" s="9">
        <v>8743</v>
      </c>
      <c r="J48" s="9">
        <v>3213</v>
      </c>
      <c r="K48" s="9">
        <v>3741</v>
      </c>
      <c r="L48" s="14">
        <v>7746</v>
      </c>
    </row>
    <row r="49" spans="1:12" x14ac:dyDescent="0.35">
      <c r="A49" s="13" t="s">
        <v>38</v>
      </c>
      <c r="B49" s="9">
        <v>2016</v>
      </c>
      <c r="C49" s="9" t="s">
        <v>26</v>
      </c>
      <c r="D49" s="9" t="s">
        <v>27</v>
      </c>
      <c r="E49" s="9" t="s">
        <v>37</v>
      </c>
      <c r="F49" s="9">
        <v>8061</v>
      </c>
      <c r="G49" s="9">
        <v>9924</v>
      </c>
      <c r="H49" s="9">
        <v>2477</v>
      </c>
      <c r="I49" s="9">
        <v>8248</v>
      </c>
      <c r="J49" s="9">
        <v>3444</v>
      </c>
      <c r="K49" s="9">
        <v>9808</v>
      </c>
      <c r="L49" s="14">
        <v>1749</v>
      </c>
    </row>
    <row r="50" spans="1:12" x14ac:dyDescent="0.35">
      <c r="A50" s="13" t="s">
        <v>38</v>
      </c>
      <c r="B50" s="9">
        <v>2015</v>
      </c>
      <c r="C50" s="9" t="s">
        <v>30</v>
      </c>
      <c r="D50" s="9" t="s">
        <v>27</v>
      </c>
      <c r="E50" s="9" t="s">
        <v>42</v>
      </c>
      <c r="F50" s="9">
        <v>2673</v>
      </c>
      <c r="G50" s="9">
        <v>2070</v>
      </c>
      <c r="H50" s="9">
        <v>3581</v>
      </c>
      <c r="I50" s="9">
        <v>6955</v>
      </c>
      <c r="J50" s="9">
        <v>7443</v>
      </c>
      <c r="K50" s="9">
        <v>2399</v>
      </c>
      <c r="L50" s="14">
        <v>7175</v>
      </c>
    </row>
    <row r="51" spans="1:12" x14ac:dyDescent="0.35">
      <c r="A51" s="13" t="s">
        <v>36</v>
      </c>
      <c r="B51" s="9">
        <v>2016</v>
      </c>
      <c r="C51" s="9" t="s">
        <v>31</v>
      </c>
      <c r="D51" s="9" t="s">
        <v>29</v>
      </c>
      <c r="E51" s="9" t="s">
        <v>37</v>
      </c>
      <c r="F51" s="9">
        <v>5570</v>
      </c>
      <c r="G51" s="9">
        <v>4082</v>
      </c>
      <c r="H51" s="9">
        <v>936</v>
      </c>
      <c r="I51" s="9">
        <v>3119</v>
      </c>
      <c r="J51" s="9">
        <v>9185</v>
      </c>
      <c r="K51" s="9">
        <v>8897</v>
      </c>
      <c r="L51" s="14">
        <v>9009</v>
      </c>
    </row>
    <row r="52" spans="1:12" x14ac:dyDescent="0.35">
      <c r="A52" s="13" t="s">
        <v>36</v>
      </c>
      <c r="B52" s="9">
        <v>2016</v>
      </c>
      <c r="C52" s="9" t="s">
        <v>24</v>
      </c>
      <c r="D52" s="9" t="s">
        <v>25</v>
      </c>
      <c r="E52" s="9" t="s">
        <v>42</v>
      </c>
      <c r="F52" s="9">
        <v>6621</v>
      </c>
      <c r="G52" s="9">
        <v>7698</v>
      </c>
      <c r="H52" s="9">
        <v>9652</v>
      </c>
      <c r="I52" s="9">
        <v>2521</v>
      </c>
      <c r="J52" s="9">
        <v>5792</v>
      </c>
      <c r="K52" s="9">
        <v>1785</v>
      </c>
      <c r="L52" s="14">
        <v>8208</v>
      </c>
    </row>
    <row r="53" spans="1:12" x14ac:dyDescent="0.35">
      <c r="A53" s="13" t="s">
        <v>39</v>
      </c>
      <c r="B53" s="9">
        <v>2015</v>
      </c>
      <c r="C53" s="9" t="s">
        <v>30</v>
      </c>
      <c r="D53" s="9" t="s">
        <v>29</v>
      </c>
      <c r="E53" s="9" t="s">
        <v>40</v>
      </c>
      <c r="F53" s="9">
        <v>977</v>
      </c>
      <c r="G53" s="9">
        <v>6508</v>
      </c>
      <c r="H53" s="9">
        <v>6675</v>
      </c>
      <c r="I53" s="9">
        <v>4540</v>
      </c>
      <c r="J53" s="9">
        <v>4619</v>
      </c>
      <c r="K53" s="9">
        <v>4328</v>
      </c>
      <c r="L53" s="14">
        <v>7951</v>
      </c>
    </row>
    <row r="54" spans="1:12" x14ac:dyDescent="0.35">
      <c r="A54" s="13" t="s">
        <v>45</v>
      </c>
      <c r="B54" s="9">
        <v>2017</v>
      </c>
      <c r="C54" s="9" t="s">
        <v>28</v>
      </c>
      <c r="D54" s="9" t="s">
        <v>25</v>
      </c>
      <c r="E54" s="9" t="s">
        <v>40</v>
      </c>
      <c r="F54" s="9">
        <v>7174</v>
      </c>
      <c r="G54" s="9">
        <v>3944</v>
      </c>
      <c r="H54" s="9">
        <v>9045</v>
      </c>
      <c r="I54" s="9">
        <v>435</v>
      </c>
      <c r="J54" s="9">
        <v>7004</v>
      </c>
      <c r="K54" s="9">
        <v>8611</v>
      </c>
      <c r="L54" s="14">
        <v>9732</v>
      </c>
    </row>
    <row r="55" spans="1:12" x14ac:dyDescent="0.35">
      <c r="A55" s="13" t="s">
        <v>44</v>
      </c>
      <c r="B55" s="9">
        <v>2014</v>
      </c>
      <c r="C55" s="9" t="s">
        <v>31</v>
      </c>
      <c r="D55" s="9" t="s">
        <v>25</v>
      </c>
      <c r="E55" s="9" t="s">
        <v>42</v>
      </c>
      <c r="F55" s="9">
        <v>9332</v>
      </c>
      <c r="G55" s="9">
        <v>3692</v>
      </c>
      <c r="H55" s="9">
        <v>8202</v>
      </c>
      <c r="I55" s="9">
        <v>5336</v>
      </c>
      <c r="J55" s="9">
        <v>47</v>
      </c>
      <c r="K55" s="9">
        <v>8754</v>
      </c>
      <c r="L55" s="14">
        <v>8087</v>
      </c>
    </row>
    <row r="56" spans="1:12" x14ac:dyDescent="0.35">
      <c r="A56" s="13" t="s">
        <v>46</v>
      </c>
      <c r="B56" s="9">
        <v>2018</v>
      </c>
      <c r="C56" s="9" t="s">
        <v>28</v>
      </c>
      <c r="D56" s="9" t="s">
        <v>27</v>
      </c>
      <c r="E56" s="9" t="s">
        <v>37</v>
      </c>
      <c r="F56" s="9">
        <v>7436</v>
      </c>
      <c r="G56" s="9">
        <v>9504</v>
      </c>
      <c r="H56" s="9">
        <v>5561</v>
      </c>
      <c r="I56" s="9">
        <v>6011</v>
      </c>
      <c r="J56" s="9">
        <v>4256</v>
      </c>
      <c r="K56" s="9">
        <v>26</v>
      </c>
      <c r="L56" s="14">
        <v>3287</v>
      </c>
    </row>
    <row r="57" spans="1:12" x14ac:dyDescent="0.35">
      <c r="A57" s="13" t="s">
        <v>47</v>
      </c>
      <c r="B57" s="9">
        <v>2017</v>
      </c>
      <c r="C57" s="9" t="s">
        <v>28</v>
      </c>
      <c r="D57" s="9" t="s">
        <v>25</v>
      </c>
      <c r="E57" s="9" t="s">
        <v>40</v>
      </c>
      <c r="F57" s="9">
        <v>7394</v>
      </c>
      <c r="G57" s="9">
        <v>7867</v>
      </c>
      <c r="H57" s="9">
        <v>5020</v>
      </c>
      <c r="I57" s="9">
        <v>1252</v>
      </c>
      <c r="J57" s="9">
        <v>5622</v>
      </c>
      <c r="K57" s="9">
        <v>6707</v>
      </c>
      <c r="L57" s="14">
        <v>4076</v>
      </c>
    </row>
    <row r="58" spans="1:12" x14ac:dyDescent="0.35">
      <c r="A58" s="13" t="s">
        <v>38</v>
      </c>
      <c r="B58" s="9">
        <v>2018</v>
      </c>
      <c r="C58" s="9" t="s">
        <v>31</v>
      </c>
      <c r="D58" s="9" t="s">
        <v>25</v>
      </c>
      <c r="E58" s="9" t="s">
        <v>42</v>
      </c>
      <c r="F58" s="9">
        <v>7016</v>
      </c>
      <c r="G58" s="9">
        <v>5272</v>
      </c>
      <c r="H58" s="9">
        <v>2134</v>
      </c>
      <c r="I58" s="9">
        <v>4020</v>
      </c>
      <c r="J58" s="9">
        <v>770</v>
      </c>
      <c r="K58" s="9">
        <v>5218</v>
      </c>
      <c r="L58" s="14">
        <v>9940</v>
      </c>
    </row>
    <row r="59" spans="1:12" x14ac:dyDescent="0.35">
      <c r="A59" s="13" t="s">
        <v>47</v>
      </c>
      <c r="B59" s="9">
        <v>2017</v>
      </c>
      <c r="C59" s="9" t="s">
        <v>31</v>
      </c>
      <c r="D59" s="9" t="s">
        <v>27</v>
      </c>
      <c r="E59" s="9" t="s">
        <v>37</v>
      </c>
      <c r="F59" s="9">
        <v>3929</v>
      </c>
      <c r="G59" s="9">
        <v>4536</v>
      </c>
      <c r="H59" s="9">
        <v>6321</v>
      </c>
      <c r="I59" s="9">
        <v>8952</v>
      </c>
      <c r="J59" s="9">
        <v>4979</v>
      </c>
      <c r="K59" s="9">
        <v>6891</v>
      </c>
      <c r="L59" s="14">
        <v>9517</v>
      </c>
    </row>
    <row r="60" spans="1:12" x14ac:dyDescent="0.35">
      <c r="A60" s="13" t="s">
        <v>48</v>
      </c>
      <c r="B60" s="9">
        <v>2017</v>
      </c>
      <c r="C60" s="9" t="s">
        <v>26</v>
      </c>
      <c r="D60" s="9" t="s">
        <v>29</v>
      </c>
      <c r="E60" s="9" t="s">
        <v>42</v>
      </c>
      <c r="F60" s="9">
        <v>9395</v>
      </c>
      <c r="G60" s="9">
        <v>4191</v>
      </c>
      <c r="H60" s="9">
        <v>5627</v>
      </c>
      <c r="I60" s="9">
        <v>6580</v>
      </c>
      <c r="J60" s="9">
        <v>7709</v>
      </c>
      <c r="K60" s="9">
        <v>7764</v>
      </c>
      <c r="L60" s="14">
        <v>3941</v>
      </c>
    </row>
    <row r="61" spans="1:12" x14ac:dyDescent="0.35">
      <c r="A61" s="13" t="s">
        <v>39</v>
      </c>
      <c r="B61" s="9">
        <v>2016</v>
      </c>
      <c r="C61" s="9" t="s">
        <v>24</v>
      </c>
      <c r="D61" s="9" t="s">
        <v>25</v>
      </c>
      <c r="E61" s="9" t="s">
        <v>42</v>
      </c>
      <c r="F61" s="9">
        <v>4470</v>
      </c>
      <c r="G61" s="9">
        <v>9300</v>
      </c>
      <c r="H61" s="9">
        <v>3709</v>
      </c>
      <c r="I61" s="9">
        <v>1449</v>
      </c>
      <c r="J61" s="9">
        <v>4973</v>
      </c>
      <c r="K61" s="9">
        <v>7130</v>
      </c>
      <c r="L61" s="14">
        <v>9896</v>
      </c>
    </row>
    <row r="62" spans="1:12" x14ac:dyDescent="0.35">
      <c r="A62" s="13" t="s">
        <v>38</v>
      </c>
      <c r="B62" s="9">
        <v>2014</v>
      </c>
      <c r="C62" s="9" t="s">
        <v>24</v>
      </c>
      <c r="D62" s="9" t="s">
        <v>29</v>
      </c>
      <c r="E62" s="9" t="s">
        <v>40</v>
      </c>
      <c r="F62" s="9">
        <v>297</v>
      </c>
      <c r="G62" s="9">
        <v>4385</v>
      </c>
      <c r="H62" s="9">
        <v>9549</v>
      </c>
      <c r="I62" s="9">
        <v>3726</v>
      </c>
      <c r="J62" s="9">
        <v>7210</v>
      </c>
      <c r="K62" s="9">
        <v>2953</v>
      </c>
      <c r="L62" s="14">
        <v>5303</v>
      </c>
    </row>
    <row r="63" spans="1:12" x14ac:dyDescent="0.35">
      <c r="A63" s="13" t="s">
        <v>38</v>
      </c>
      <c r="B63" s="9">
        <v>2016</v>
      </c>
      <c r="C63" s="9" t="s">
        <v>28</v>
      </c>
      <c r="D63" s="9" t="s">
        <v>27</v>
      </c>
      <c r="E63" s="9" t="s">
        <v>37</v>
      </c>
      <c r="F63" s="9">
        <v>4917</v>
      </c>
      <c r="G63" s="9">
        <v>9503</v>
      </c>
      <c r="H63" s="9">
        <v>1223</v>
      </c>
      <c r="I63" s="9">
        <v>4713</v>
      </c>
      <c r="J63" s="9">
        <v>2931</v>
      </c>
      <c r="K63" s="9">
        <v>957</v>
      </c>
      <c r="L63" s="14">
        <v>7947</v>
      </c>
    </row>
    <row r="64" spans="1:12" x14ac:dyDescent="0.35">
      <c r="A64" s="13" t="s">
        <v>49</v>
      </c>
      <c r="B64" s="9">
        <v>2014</v>
      </c>
      <c r="C64" s="9" t="s">
        <v>26</v>
      </c>
      <c r="D64" s="9" t="s">
        <v>27</v>
      </c>
      <c r="E64" s="9" t="s">
        <v>42</v>
      </c>
      <c r="F64" s="9">
        <v>1932</v>
      </c>
      <c r="G64" s="9">
        <v>6912</v>
      </c>
      <c r="H64" s="9">
        <v>9383</v>
      </c>
      <c r="I64" s="9">
        <v>174</v>
      </c>
      <c r="J64" s="9">
        <v>6225</v>
      </c>
      <c r="K64" s="9">
        <v>9260</v>
      </c>
      <c r="L64" s="14">
        <v>4509</v>
      </c>
    </row>
    <row r="65" spans="1:12" x14ac:dyDescent="0.35">
      <c r="A65" s="13" t="s">
        <v>50</v>
      </c>
      <c r="B65" s="9">
        <v>2018</v>
      </c>
      <c r="C65" s="9" t="s">
        <v>30</v>
      </c>
      <c r="D65" s="9" t="s">
        <v>27</v>
      </c>
      <c r="E65" s="9" t="s">
        <v>40</v>
      </c>
      <c r="F65" s="9">
        <v>681</v>
      </c>
      <c r="G65" s="9">
        <v>4161</v>
      </c>
      <c r="H65" s="9">
        <v>856</v>
      </c>
      <c r="I65" s="9">
        <v>7098</v>
      </c>
      <c r="J65" s="9">
        <v>3274</v>
      </c>
      <c r="K65" s="9">
        <v>1397</v>
      </c>
      <c r="L65" s="14">
        <v>9311</v>
      </c>
    </row>
    <row r="66" spans="1:12" x14ac:dyDescent="0.35">
      <c r="A66" s="13" t="s">
        <v>38</v>
      </c>
      <c r="B66" s="9">
        <v>2018</v>
      </c>
      <c r="C66" s="9" t="s">
        <v>28</v>
      </c>
      <c r="D66" s="9" t="s">
        <v>27</v>
      </c>
      <c r="E66" s="9" t="s">
        <v>42</v>
      </c>
      <c r="F66" s="9">
        <v>1431</v>
      </c>
      <c r="G66" s="9">
        <v>935</v>
      </c>
      <c r="H66" s="9">
        <v>650</v>
      </c>
      <c r="I66" s="9">
        <v>1132</v>
      </c>
      <c r="J66" s="9">
        <v>9505</v>
      </c>
      <c r="K66" s="9">
        <v>3221</v>
      </c>
      <c r="L66" s="14">
        <v>3736</v>
      </c>
    </row>
    <row r="67" spans="1:12" x14ac:dyDescent="0.35">
      <c r="A67" s="13" t="s">
        <v>44</v>
      </c>
      <c r="B67" s="9">
        <v>2017</v>
      </c>
      <c r="C67" s="9" t="s">
        <v>31</v>
      </c>
      <c r="D67" s="9" t="s">
        <v>29</v>
      </c>
      <c r="E67" s="9" t="s">
        <v>37</v>
      </c>
      <c r="F67" s="9">
        <v>6010</v>
      </c>
      <c r="G67" s="9">
        <v>5243</v>
      </c>
      <c r="H67" s="9">
        <v>7733</v>
      </c>
      <c r="I67" s="9">
        <v>1874</v>
      </c>
      <c r="J67" s="9">
        <v>3196</v>
      </c>
      <c r="K67" s="9">
        <v>6233</v>
      </c>
      <c r="L67" s="14">
        <v>8550</v>
      </c>
    </row>
    <row r="68" spans="1:12" x14ac:dyDescent="0.35">
      <c r="A68" s="13" t="s">
        <v>39</v>
      </c>
      <c r="B68" s="9">
        <v>2015</v>
      </c>
      <c r="C68" s="9" t="s">
        <v>30</v>
      </c>
      <c r="D68" s="9" t="s">
        <v>25</v>
      </c>
      <c r="E68" s="9" t="s">
        <v>37</v>
      </c>
      <c r="F68" s="9">
        <v>759</v>
      </c>
      <c r="G68" s="9">
        <v>7662</v>
      </c>
      <c r="H68" s="9">
        <v>5494</v>
      </c>
      <c r="I68" s="9">
        <v>8010</v>
      </c>
      <c r="J68" s="9">
        <v>2737</v>
      </c>
      <c r="K68" s="9">
        <v>6857</v>
      </c>
      <c r="L68" s="14">
        <v>5644</v>
      </c>
    </row>
    <row r="69" spans="1:12" x14ac:dyDescent="0.35">
      <c r="A69" s="13" t="s">
        <v>36</v>
      </c>
      <c r="B69" s="9">
        <v>2018</v>
      </c>
      <c r="C69" s="9" t="s">
        <v>24</v>
      </c>
      <c r="D69" s="9" t="s">
        <v>27</v>
      </c>
      <c r="E69" s="9" t="s">
        <v>42</v>
      </c>
      <c r="F69" s="9">
        <v>9196</v>
      </c>
      <c r="G69" s="9">
        <v>8081</v>
      </c>
      <c r="H69" s="9">
        <v>2565</v>
      </c>
      <c r="I69" s="9">
        <v>5067</v>
      </c>
      <c r="J69" s="9">
        <v>4854</v>
      </c>
      <c r="K69" s="9">
        <v>6809</v>
      </c>
      <c r="L69" s="14">
        <v>9577</v>
      </c>
    </row>
    <row r="70" spans="1:12" x14ac:dyDescent="0.35">
      <c r="A70" s="13" t="s">
        <v>49</v>
      </c>
      <c r="B70" s="9">
        <v>2014</v>
      </c>
      <c r="C70" s="9" t="s">
        <v>24</v>
      </c>
      <c r="D70" s="9" t="s">
        <v>29</v>
      </c>
      <c r="E70" s="9" t="s">
        <v>40</v>
      </c>
      <c r="F70" s="9">
        <v>2298</v>
      </c>
      <c r="G70" s="9">
        <v>6217</v>
      </c>
      <c r="H70" s="9">
        <v>6752</v>
      </c>
      <c r="I70" s="9">
        <v>8625</v>
      </c>
      <c r="J70" s="9">
        <v>6924</v>
      </c>
      <c r="K70" s="9">
        <v>291</v>
      </c>
      <c r="L70" s="14">
        <v>6717</v>
      </c>
    </row>
    <row r="71" spans="1:12" x14ac:dyDescent="0.35">
      <c r="A71" s="13" t="s">
        <v>41</v>
      </c>
      <c r="B71" s="9">
        <v>2014</v>
      </c>
      <c r="C71" s="9" t="s">
        <v>30</v>
      </c>
      <c r="D71" s="9" t="s">
        <v>29</v>
      </c>
      <c r="E71" s="9" t="s">
        <v>42</v>
      </c>
      <c r="F71" s="9">
        <v>4401</v>
      </c>
      <c r="G71" s="9">
        <v>5337</v>
      </c>
      <c r="H71" s="9">
        <v>6198</v>
      </c>
      <c r="I71" s="9">
        <v>9352</v>
      </c>
      <c r="J71" s="9">
        <v>8356</v>
      </c>
      <c r="K71" s="9">
        <v>5230</v>
      </c>
      <c r="L71" s="14">
        <v>8421</v>
      </c>
    </row>
    <row r="72" spans="1:12" x14ac:dyDescent="0.35">
      <c r="A72" s="13" t="s">
        <v>48</v>
      </c>
      <c r="B72" s="9">
        <v>2018</v>
      </c>
      <c r="C72" s="9" t="s">
        <v>31</v>
      </c>
      <c r="D72" s="9" t="s">
        <v>29</v>
      </c>
      <c r="E72" s="9" t="s">
        <v>40</v>
      </c>
      <c r="F72" s="9">
        <v>7896</v>
      </c>
      <c r="G72" s="9">
        <v>7028</v>
      </c>
      <c r="H72" s="9">
        <v>1915</v>
      </c>
      <c r="I72" s="9">
        <v>2097</v>
      </c>
      <c r="J72" s="9">
        <v>7703</v>
      </c>
      <c r="K72" s="9">
        <v>7944</v>
      </c>
      <c r="L72" s="14">
        <v>3244</v>
      </c>
    </row>
    <row r="73" spans="1:12" x14ac:dyDescent="0.35">
      <c r="A73" s="13" t="s">
        <v>48</v>
      </c>
      <c r="B73" s="9">
        <v>2015</v>
      </c>
      <c r="C73" s="9" t="s">
        <v>30</v>
      </c>
      <c r="D73" s="9" t="s">
        <v>27</v>
      </c>
      <c r="E73" s="9" t="s">
        <v>40</v>
      </c>
      <c r="F73" s="9">
        <v>9367</v>
      </c>
      <c r="G73" s="9">
        <v>1675</v>
      </c>
      <c r="H73" s="9">
        <v>5200</v>
      </c>
      <c r="I73" s="9">
        <v>4858</v>
      </c>
      <c r="J73" s="9">
        <v>3646</v>
      </c>
      <c r="K73" s="9">
        <v>3885</v>
      </c>
      <c r="L73" s="14">
        <v>6814</v>
      </c>
    </row>
    <row r="74" spans="1:12" x14ac:dyDescent="0.35">
      <c r="A74" s="13" t="s">
        <v>41</v>
      </c>
      <c r="B74" s="9">
        <v>2018</v>
      </c>
      <c r="C74" s="9" t="s">
        <v>30</v>
      </c>
      <c r="D74" s="9" t="s">
        <v>25</v>
      </c>
      <c r="E74" s="9" t="s">
        <v>42</v>
      </c>
      <c r="F74" s="9">
        <v>1548</v>
      </c>
      <c r="G74" s="9">
        <v>3152</v>
      </c>
      <c r="H74" s="9">
        <v>7136</v>
      </c>
      <c r="I74" s="9">
        <v>3340</v>
      </c>
      <c r="J74" s="9">
        <v>3619</v>
      </c>
      <c r="K74" s="9">
        <v>1398</v>
      </c>
      <c r="L74" s="14">
        <v>4269</v>
      </c>
    </row>
    <row r="75" spans="1:12" x14ac:dyDescent="0.35">
      <c r="A75" s="13" t="s">
        <v>44</v>
      </c>
      <c r="B75" s="9">
        <v>2015</v>
      </c>
      <c r="C75" s="9" t="s">
        <v>26</v>
      </c>
      <c r="D75" s="9" t="s">
        <v>29</v>
      </c>
      <c r="E75" s="9" t="s">
        <v>42</v>
      </c>
      <c r="F75" s="9">
        <v>6760</v>
      </c>
      <c r="G75" s="9">
        <v>5690</v>
      </c>
      <c r="H75" s="9">
        <v>2008</v>
      </c>
      <c r="I75" s="9">
        <v>3516</v>
      </c>
      <c r="J75" s="9">
        <v>9004</v>
      </c>
      <c r="K75" s="9">
        <v>2902</v>
      </c>
      <c r="L75" s="14">
        <v>3114</v>
      </c>
    </row>
    <row r="76" spans="1:12" x14ac:dyDescent="0.35">
      <c r="A76" s="13" t="s">
        <v>50</v>
      </c>
      <c r="B76" s="9">
        <v>2015</v>
      </c>
      <c r="C76" s="9" t="s">
        <v>28</v>
      </c>
      <c r="D76" s="9" t="s">
        <v>25</v>
      </c>
      <c r="E76" s="9" t="s">
        <v>37</v>
      </c>
      <c r="F76" s="9">
        <v>8437</v>
      </c>
      <c r="G76" s="9">
        <v>319</v>
      </c>
      <c r="H76" s="9">
        <v>7080</v>
      </c>
      <c r="I76" s="9">
        <v>8569</v>
      </c>
      <c r="J76" s="9">
        <v>546</v>
      </c>
      <c r="K76" s="9">
        <v>3119</v>
      </c>
      <c r="L76" s="14">
        <v>7316</v>
      </c>
    </row>
    <row r="77" spans="1:12" x14ac:dyDescent="0.35">
      <c r="A77" s="13" t="s">
        <v>48</v>
      </c>
      <c r="B77" s="9">
        <v>2017</v>
      </c>
      <c r="C77" s="9" t="s">
        <v>24</v>
      </c>
      <c r="D77" s="9" t="s">
        <v>27</v>
      </c>
      <c r="E77" s="9" t="s">
        <v>37</v>
      </c>
      <c r="F77" s="9">
        <v>6176</v>
      </c>
      <c r="G77" s="9">
        <v>9411</v>
      </c>
      <c r="H77" s="9">
        <v>7181</v>
      </c>
      <c r="I77" s="9">
        <v>4107</v>
      </c>
      <c r="J77" s="9">
        <v>2057</v>
      </c>
      <c r="K77" s="9">
        <v>9874</v>
      </c>
      <c r="L77" s="14">
        <v>247</v>
      </c>
    </row>
    <row r="78" spans="1:12" x14ac:dyDescent="0.35">
      <c r="A78" s="13" t="s">
        <v>45</v>
      </c>
      <c r="B78" s="9">
        <v>2015</v>
      </c>
      <c r="C78" s="9" t="s">
        <v>28</v>
      </c>
      <c r="D78" s="9" t="s">
        <v>29</v>
      </c>
      <c r="E78" s="9" t="s">
        <v>40</v>
      </c>
      <c r="F78" s="9">
        <v>6734</v>
      </c>
      <c r="G78" s="9">
        <v>8971</v>
      </c>
      <c r="H78" s="9">
        <v>7114</v>
      </c>
      <c r="I78" s="9">
        <v>3660</v>
      </c>
      <c r="J78" s="9">
        <v>2455</v>
      </c>
      <c r="K78" s="9">
        <v>1486</v>
      </c>
      <c r="L78" s="14">
        <v>1488</v>
      </c>
    </row>
    <row r="79" spans="1:12" x14ac:dyDescent="0.35">
      <c r="A79" s="13" t="s">
        <v>44</v>
      </c>
      <c r="B79" s="9">
        <v>2017</v>
      </c>
      <c r="C79" s="9" t="s">
        <v>28</v>
      </c>
      <c r="D79" s="9" t="s">
        <v>25</v>
      </c>
      <c r="E79" s="9" t="s">
        <v>42</v>
      </c>
      <c r="F79" s="9">
        <v>7123</v>
      </c>
      <c r="G79" s="9">
        <v>8415</v>
      </c>
      <c r="H79" s="9">
        <v>8017</v>
      </c>
      <c r="I79" s="9">
        <v>6207</v>
      </c>
      <c r="J79" s="9">
        <v>9996</v>
      </c>
      <c r="K79" s="9">
        <v>2835</v>
      </c>
      <c r="L79" s="14">
        <v>4008</v>
      </c>
    </row>
    <row r="80" spans="1:12" x14ac:dyDescent="0.35">
      <c r="A80" s="13" t="s">
        <v>36</v>
      </c>
      <c r="B80" s="9">
        <v>2018</v>
      </c>
      <c r="C80" s="9" t="s">
        <v>26</v>
      </c>
      <c r="D80" s="9" t="s">
        <v>25</v>
      </c>
      <c r="E80" s="9" t="s">
        <v>37</v>
      </c>
      <c r="F80" s="9">
        <v>7564</v>
      </c>
      <c r="G80" s="9">
        <v>9167</v>
      </c>
      <c r="H80" s="9">
        <v>4190</v>
      </c>
      <c r="I80" s="9">
        <v>2663</v>
      </c>
      <c r="J80" s="9">
        <v>9963</v>
      </c>
      <c r="K80" s="9">
        <v>9740</v>
      </c>
      <c r="L80" s="14">
        <v>19</v>
      </c>
    </row>
    <row r="81" spans="1:12" x14ac:dyDescent="0.35">
      <c r="A81" s="13" t="s">
        <v>41</v>
      </c>
      <c r="B81" s="9">
        <v>2018</v>
      </c>
      <c r="C81" s="9" t="s">
        <v>26</v>
      </c>
      <c r="D81" s="9" t="s">
        <v>27</v>
      </c>
      <c r="E81" s="9" t="s">
        <v>42</v>
      </c>
      <c r="F81" s="9">
        <v>1813</v>
      </c>
      <c r="G81" s="9">
        <v>1640</v>
      </c>
      <c r="H81" s="9">
        <v>8758</v>
      </c>
      <c r="I81" s="9">
        <v>7520</v>
      </c>
      <c r="J81" s="9">
        <v>1411</v>
      </c>
      <c r="K81" s="9">
        <v>9034</v>
      </c>
      <c r="L81" s="14">
        <v>3368</v>
      </c>
    </row>
    <row r="82" spans="1:12" x14ac:dyDescent="0.35">
      <c r="A82" s="13" t="s">
        <v>46</v>
      </c>
      <c r="B82" s="9">
        <v>2017</v>
      </c>
      <c r="C82" s="9" t="s">
        <v>31</v>
      </c>
      <c r="D82" s="9" t="s">
        <v>25</v>
      </c>
      <c r="E82" s="9" t="s">
        <v>37</v>
      </c>
      <c r="F82" s="9">
        <v>2065</v>
      </c>
      <c r="G82" s="9">
        <v>5236</v>
      </c>
      <c r="H82" s="9">
        <v>8043</v>
      </c>
      <c r="I82" s="9">
        <v>4105</v>
      </c>
      <c r="J82" s="9">
        <v>6110</v>
      </c>
      <c r="K82" s="9">
        <v>4298</v>
      </c>
      <c r="L82" s="14">
        <v>7788</v>
      </c>
    </row>
    <row r="83" spans="1:12" x14ac:dyDescent="0.35">
      <c r="A83" s="13" t="s">
        <v>47</v>
      </c>
      <c r="B83" s="9">
        <v>2015</v>
      </c>
      <c r="C83" s="9" t="s">
        <v>26</v>
      </c>
      <c r="D83" s="9" t="s">
        <v>29</v>
      </c>
      <c r="E83" s="9" t="s">
        <v>42</v>
      </c>
      <c r="F83" s="9">
        <v>4326</v>
      </c>
      <c r="G83" s="9">
        <v>9415</v>
      </c>
      <c r="H83" s="9">
        <v>3587</v>
      </c>
      <c r="I83" s="9">
        <v>283</v>
      </c>
      <c r="J83" s="9">
        <v>783</v>
      </c>
      <c r="K83" s="9">
        <v>4122</v>
      </c>
      <c r="L83" s="14">
        <v>9859</v>
      </c>
    </row>
    <row r="84" spans="1:12" x14ac:dyDescent="0.35">
      <c r="A84" s="13" t="s">
        <v>49</v>
      </c>
      <c r="B84" s="9">
        <v>2015</v>
      </c>
      <c r="C84" s="9" t="s">
        <v>30</v>
      </c>
      <c r="D84" s="9" t="s">
        <v>25</v>
      </c>
      <c r="E84" s="9" t="s">
        <v>37</v>
      </c>
      <c r="F84" s="9">
        <v>2187</v>
      </c>
      <c r="G84" s="9">
        <v>1537</v>
      </c>
      <c r="H84" s="9">
        <v>7995</v>
      </c>
      <c r="I84" s="9">
        <v>6310</v>
      </c>
      <c r="J84" s="9">
        <v>7878</v>
      </c>
      <c r="K84" s="9">
        <v>588</v>
      </c>
      <c r="L84" s="14">
        <v>647</v>
      </c>
    </row>
    <row r="85" spans="1:12" x14ac:dyDescent="0.35">
      <c r="A85" s="13" t="s">
        <v>38</v>
      </c>
      <c r="B85" s="9">
        <v>2018</v>
      </c>
      <c r="C85" s="9" t="s">
        <v>24</v>
      </c>
      <c r="D85" s="9" t="s">
        <v>27</v>
      </c>
      <c r="E85" s="9" t="s">
        <v>42</v>
      </c>
      <c r="F85" s="9">
        <v>5240</v>
      </c>
      <c r="G85" s="9">
        <v>3899</v>
      </c>
      <c r="H85" s="9">
        <v>143</v>
      </c>
      <c r="I85" s="9">
        <v>127</v>
      </c>
      <c r="J85" s="9">
        <v>8609</v>
      </c>
      <c r="K85" s="9">
        <v>6050</v>
      </c>
      <c r="L85" s="14">
        <v>1891</v>
      </c>
    </row>
    <row r="86" spans="1:12" x14ac:dyDescent="0.35">
      <c r="A86" s="13" t="s">
        <v>39</v>
      </c>
      <c r="B86" s="9">
        <v>2018</v>
      </c>
      <c r="C86" s="9" t="s">
        <v>28</v>
      </c>
      <c r="D86" s="9" t="s">
        <v>27</v>
      </c>
      <c r="E86" s="9" t="s">
        <v>42</v>
      </c>
      <c r="F86" s="9">
        <v>1334</v>
      </c>
      <c r="G86" s="9">
        <v>2147</v>
      </c>
      <c r="H86" s="9">
        <v>5071</v>
      </c>
      <c r="I86" s="9">
        <v>4808</v>
      </c>
      <c r="J86" s="9">
        <v>2223</v>
      </c>
      <c r="K86" s="9">
        <v>7554</v>
      </c>
      <c r="L86" s="14">
        <v>3429</v>
      </c>
    </row>
    <row r="87" spans="1:12" x14ac:dyDescent="0.35">
      <c r="A87" s="13" t="s">
        <v>48</v>
      </c>
      <c r="B87" s="9">
        <v>2017</v>
      </c>
      <c r="C87" s="9" t="s">
        <v>24</v>
      </c>
      <c r="D87" s="9" t="s">
        <v>27</v>
      </c>
      <c r="E87" s="9" t="s">
        <v>40</v>
      </c>
      <c r="F87" s="9">
        <v>7376</v>
      </c>
      <c r="G87" s="9">
        <v>5450</v>
      </c>
      <c r="H87" s="9">
        <v>726</v>
      </c>
      <c r="I87" s="9">
        <v>3806</v>
      </c>
      <c r="J87" s="9">
        <v>8013</v>
      </c>
      <c r="K87" s="9">
        <v>4798</v>
      </c>
      <c r="L87" s="14">
        <v>9257</v>
      </c>
    </row>
    <row r="88" spans="1:12" x14ac:dyDescent="0.35">
      <c r="A88" s="13" t="s">
        <v>43</v>
      </c>
      <c r="B88" s="9">
        <v>2016</v>
      </c>
      <c r="C88" s="9" t="s">
        <v>30</v>
      </c>
      <c r="D88" s="9" t="s">
        <v>27</v>
      </c>
      <c r="E88" s="9" t="s">
        <v>42</v>
      </c>
      <c r="F88" s="9">
        <v>279</v>
      </c>
      <c r="G88" s="9">
        <v>6286</v>
      </c>
      <c r="H88" s="9">
        <v>2936</v>
      </c>
      <c r="I88" s="9">
        <v>8647</v>
      </c>
      <c r="J88" s="9">
        <v>9723</v>
      </c>
      <c r="K88" s="9">
        <v>9011</v>
      </c>
      <c r="L88" s="14">
        <v>4268</v>
      </c>
    </row>
    <row r="89" spans="1:12" x14ac:dyDescent="0.35">
      <c r="A89" s="13" t="s">
        <v>45</v>
      </c>
      <c r="B89" s="9">
        <v>2014</v>
      </c>
      <c r="C89" s="9" t="s">
        <v>28</v>
      </c>
      <c r="D89" s="9" t="s">
        <v>27</v>
      </c>
      <c r="E89" s="9" t="s">
        <v>40</v>
      </c>
      <c r="F89" s="9">
        <v>5779</v>
      </c>
      <c r="G89" s="9">
        <v>3351</v>
      </c>
      <c r="H89" s="9">
        <v>7215</v>
      </c>
      <c r="I89" s="9">
        <v>5158</v>
      </c>
      <c r="J89" s="9">
        <v>7839</v>
      </c>
      <c r="K89" s="9">
        <v>4711</v>
      </c>
      <c r="L89" s="14">
        <v>8781</v>
      </c>
    </row>
    <row r="90" spans="1:12" x14ac:dyDescent="0.35">
      <c r="A90" s="13" t="s">
        <v>36</v>
      </c>
      <c r="B90" s="9">
        <v>2015</v>
      </c>
      <c r="C90" s="9" t="s">
        <v>30</v>
      </c>
      <c r="D90" s="9" t="s">
        <v>27</v>
      </c>
      <c r="E90" s="9" t="s">
        <v>37</v>
      </c>
      <c r="F90" s="9">
        <v>8628</v>
      </c>
      <c r="G90" s="9">
        <v>4332</v>
      </c>
      <c r="H90" s="9">
        <v>8285</v>
      </c>
      <c r="I90" s="9">
        <v>4749</v>
      </c>
      <c r="J90" s="9">
        <v>3341</v>
      </c>
      <c r="K90" s="9">
        <v>3938</v>
      </c>
      <c r="L90" s="14">
        <v>686</v>
      </c>
    </row>
    <row r="91" spans="1:12" x14ac:dyDescent="0.35">
      <c r="A91" s="13" t="s">
        <v>44</v>
      </c>
      <c r="B91" s="9">
        <v>2015</v>
      </c>
      <c r="C91" s="9" t="s">
        <v>31</v>
      </c>
      <c r="D91" s="9" t="s">
        <v>25</v>
      </c>
      <c r="E91" s="9" t="s">
        <v>42</v>
      </c>
      <c r="F91" s="9">
        <v>3363</v>
      </c>
      <c r="G91" s="9">
        <v>8893</v>
      </c>
      <c r="H91" s="9">
        <v>5318</v>
      </c>
      <c r="I91" s="9">
        <v>9147</v>
      </c>
      <c r="J91" s="9">
        <v>1645</v>
      </c>
      <c r="K91" s="9">
        <v>6576</v>
      </c>
      <c r="L91" s="14">
        <v>9545</v>
      </c>
    </row>
    <row r="92" spans="1:12" x14ac:dyDescent="0.35">
      <c r="A92" s="13" t="s">
        <v>41</v>
      </c>
      <c r="B92" s="9">
        <v>2018</v>
      </c>
      <c r="C92" s="9" t="s">
        <v>31</v>
      </c>
      <c r="D92" s="9" t="s">
        <v>27</v>
      </c>
      <c r="E92" s="9" t="s">
        <v>40</v>
      </c>
      <c r="F92" s="9">
        <v>7818</v>
      </c>
      <c r="G92" s="9">
        <v>4075</v>
      </c>
      <c r="H92" s="9">
        <v>2591</v>
      </c>
      <c r="I92" s="9">
        <v>5181</v>
      </c>
      <c r="J92" s="9">
        <v>6048</v>
      </c>
      <c r="K92" s="9">
        <v>2428</v>
      </c>
      <c r="L92" s="14">
        <v>7871</v>
      </c>
    </row>
    <row r="93" spans="1:12" x14ac:dyDescent="0.35">
      <c r="A93" s="13" t="s">
        <v>50</v>
      </c>
      <c r="B93" s="9">
        <v>2014</v>
      </c>
      <c r="C93" s="9" t="s">
        <v>28</v>
      </c>
      <c r="D93" s="9" t="s">
        <v>29</v>
      </c>
      <c r="E93" s="9" t="s">
        <v>37</v>
      </c>
      <c r="F93" s="9">
        <v>425</v>
      </c>
      <c r="G93" s="9">
        <v>1314</v>
      </c>
      <c r="H93" s="9">
        <v>9990</v>
      </c>
      <c r="I93" s="9">
        <v>7162</v>
      </c>
      <c r="J93" s="9">
        <v>5388</v>
      </c>
      <c r="K93" s="9">
        <v>9914</v>
      </c>
      <c r="L93" s="14">
        <v>1445</v>
      </c>
    </row>
    <row r="94" spans="1:12" x14ac:dyDescent="0.35">
      <c r="A94" s="13" t="s">
        <v>49</v>
      </c>
      <c r="B94" s="9">
        <v>2018</v>
      </c>
      <c r="C94" s="9" t="s">
        <v>30</v>
      </c>
      <c r="D94" s="9" t="s">
        <v>25</v>
      </c>
      <c r="E94" s="9" t="s">
        <v>37</v>
      </c>
      <c r="F94" s="9">
        <v>4807</v>
      </c>
      <c r="G94" s="9">
        <v>4355</v>
      </c>
      <c r="H94" s="9">
        <v>3396</v>
      </c>
      <c r="I94" s="9">
        <v>6852</v>
      </c>
      <c r="J94" s="9">
        <v>404</v>
      </c>
      <c r="K94" s="9">
        <v>5855</v>
      </c>
      <c r="L94" s="14">
        <v>3729</v>
      </c>
    </row>
    <row r="95" spans="1:12" x14ac:dyDescent="0.35">
      <c r="A95" s="13" t="s">
        <v>44</v>
      </c>
      <c r="B95" s="9">
        <v>2016</v>
      </c>
      <c r="C95" s="9" t="s">
        <v>28</v>
      </c>
      <c r="D95" s="9" t="s">
        <v>27</v>
      </c>
      <c r="E95" s="9" t="s">
        <v>42</v>
      </c>
      <c r="F95" s="9">
        <v>3541</v>
      </c>
      <c r="G95" s="9">
        <v>1410</v>
      </c>
      <c r="H95" s="9">
        <v>5300</v>
      </c>
      <c r="I95" s="9">
        <v>8548</v>
      </c>
      <c r="J95" s="9">
        <v>1499</v>
      </c>
      <c r="K95" s="9">
        <v>5908</v>
      </c>
      <c r="L95" s="14">
        <v>8979</v>
      </c>
    </row>
    <row r="96" spans="1:12" x14ac:dyDescent="0.35">
      <c r="A96" s="13" t="s">
        <v>47</v>
      </c>
      <c r="B96" s="9">
        <v>2014</v>
      </c>
      <c r="C96" s="9" t="s">
        <v>31</v>
      </c>
      <c r="D96" s="9" t="s">
        <v>29</v>
      </c>
      <c r="E96" s="9" t="s">
        <v>42</v>
      </c>
      <c r="F96" s="9">
        <v>9058</v>
      </c>
      <c r="G96" s="9">
        <v>9257</v>
      </c>
      <c r="H96" s="9">
        <v>594</v>
      </c>
      <c r="I96" s="9">
        <v>7071</v>
      </c>
      <c r="J96" s="9">
        <v>8623</v>
      </c>
      <c r="K96" s="9">
        <v>8993</v>
      </c>
      <c r="L96" s="14">
        <v>3994</v>
      </c>
    </row>
    <row r="97" spans="1:12" x14ac:dyDescent="0.35">
      <c r="A97" s="13" t="s">
        <v>46</v>
      </c>
      <c r="B97" s="9">
        <v>2018</v>
      </c>
      <c r="C97" s="9" t="s">
        <v>24</v>
      </c>
      <c r="D97" s="9" t="s">
        <v>27</v>
      </c>
      <c r="E97" s="9" t="s">
        <v>42</v>
      </c>
      <c r="F97" s="9">
        <v>9166</v>
      </c>
      <c r="G97" s="9">
        <v>6937</v>
      </c>
      <c r="H97" s="9">
        <v>6683</v>
      </c>
      <c r="I97" s="9">
        <v>8542</v>
      </c>
      <c r="J97" s="9">
        <v>6004</v>
      </c>
      <c r="K97" s="9">
        <v>7994</v>
      </c>
      <c r="L97" s="14">
        <v>3054</v>
      </c>
    </row>
    <row r="98" spans="1:12" x14ac:dyDescent="0.35">
      <c r="A98" s="13" t="s">
        <v>48</v>
      </c>
      <c r="B98" s="9">
        <v>2015</v>
      </c>
      <c r="C98" s="9" t="s">
        <v>30</v>
      </c>
      <c r="D98" s="9" t="s">
        <v>27</v>
      </c>
      <c r="E98" s="9" t="s">
        <v>42</v>
      </c>
      <c r="F98" s="9">
        <v>94</v>
      </c>
      <c r="G98" s="9">
        <v>2856</v>
      </c>
      <c r="H98" s="9">
        <v>9618</v>
      </c>
      <c r="I98" s="9">
        <v>8183</v>
      </c>
      <c r="J98" s="9">
        <v>8743</v>
      </c>
      <c r="K98" s="9">
        <v>9262</v>
      </c>
      <c r="L98" s="14">
        <v>9364</v>
      </c>
    </row>
    <row r="99" spans="1:12" x14ac:dyDescent="0.35">
      <c r="A99" s="13" t="s">
        <v>46</v>
      </c>
      <c r="B99" s="9">
        <v>2015</v>
      </c>
      <c r="C99" s="9" t="s">
        <v>26</v>
      </c>
      <c r="D99" s="9" t="s">
        <v>27</v>
      </c>
      <c r="E99" s="9" t="s">
        <v>37</v>
      </c>
      <c r="F99" s="9">
        <v>6072</v>
      </c>
      <c r="G99" s="9">
        <v>5677</v>
      </c>
      <c r="H99" s="9">
        <v>2053</v>
      </c>
      <c r="I99" s="9">
        <v>8201</v>
      </c>
      <c r="J99" s="9">
        <v>4220</v>
      </c>
      <c r="K99" s="9">
        <v>4073</v>
      </c>
      <c r="L99" s="14">
        <v>9485</v>
      </c>
    </row>
    <row r="100" spans="1:12" x14ac:dyDescent="0.35">
      <c r="A100" s="13" t="s">
        <v>50</v>
      </c>
      <c r="B100" s="9">
        <v>2014</v>
      </c>
      <c r="C100" s="9" t="s">
        <v>31</v>
      </c>
      <c r="D100" s="9" t="s">
        <v>29</v>
      </c>
      <c r="E100" s="9" t="s">
        <v>37</v>
      </c>
      <c r="F100" s="9">
        <v>167</v>
      </c>
      <c r="G100" s="9">
        <v>8295</v>
      </c>
      <c r="H100" s="9">
        <v>2696</v>
      </c>
      <c r="I100" s="9">
        <v>5148</v>
      </c>
      <c r="J100" s="9">
        <v>4622</v>
      </c>
      <c r="K100" s="9">
        <v>6322</v>
      </c>
      <c r="L100" s="14">
        <v>9486</v>
      </c>
    </row>
    <row r="101" spans="1:12" x14ac:dyDescent="0.35">
      <c r="A101" s="13" t="s">
        <v>41</v>
      </c>
      <c r="B101" s="9">
        <v>2018</v>
      </c>
      <c r="C101" s="9" t="s">
        <v>24</v>
      </c>
      <c r="D101" s="9" t="s">
        <v>27</v>
      </c>
      <c r="E101" s="9" t="s">
        <v>40</v>
      </c>
      <c r="F101" s="9">
        <v>6119</v>
      </c>
      <c r="G101" s="9">
        <v>2162</v>
      </c>
      <c r="H101" s="9">
        <v>6932</v>
      </c>
      <c r="I101" s="9">
        <v>223</v>
      </c>
      <c r="J101" s="9">
        <v>9388</v>
      </c>
      <c r="K101" s="9">
        <v>3662</v>
      </c>
      <c r="L101" s="14">
        <v>8886</v>
      </c>
    </row>
    <row r="102" spans="1:12" x14ac:dyDescent="0.35">
      <c r="A102" s="13" t="s">
        <v>48</v>
      </c>
      <c r="B102" s="9">
        <v>2017</v>
      </c>
      <c r="C102" s="9" t="s">
        <v>26</v>
      </c>
      <c r="D102" s="9" t="s">
        <v>29</v>
      </c>
      <c r="E102" s="9" t="s">
        <v>40</v>
      </c>
      <c r="F102" s="9">
        <v>7563</v>
      </c>
      <c r="G102" s="9">
        <v>1305</v>
      </c>
      <c r="H102" s="9">
        <v>2959</v>
      </c>
      <c r="I102" s="9">
        <v>1822</v>
      </c>
      <c r="J102" s="9">
        <v>324</v>
      </c>
      <c r="K102" s="9">
        <v>3749</v>
      </c>
      <c r="L102" s="14">
        <v>4653</v>
      </c>
    </row>
    <row r="103" spans="1:12" x14ac:dyDescent="0.35">
      <c r="A103" s="13" t="s">
        <v>43</v>
      </c>
      <c r="B103" s="9">
        <v>2017</v>
      </c>
      <c r="C103" s="9" t="s">
        <v>28</v>
      </c>
      <c r="D103" s="9" t="s">
        <v>27</v>
      </c>
      <c r="E103" s="9" t="s">
        <v>42</v>
      </c>
      <c r="F103" s="9">
        <v>3571</v>
      </c>
      <c r="G103" s="9">
        <v>5707</v>
      </c>
      <c r="H103" s="9">
        <v>3697</v>
      </c>
      <c r="I103" s="9">
        <v>8729</v>
      </c>
      <c r="J103" s="9">
        <v>4674</v>
      </c>
      <c r="K103" s="9">
        <v>9247</v>
      </c>
      <c r="L103" s="14">
        <v>1570</v>
      </c>
    </row>
    <row r="104" spans="1:12" x14ac:dyDescent="0.35">
      <c r="A104" s="13" t="s">
        <v>49</v>
      </c>
      <c r="B104" s="9">
        <v>2015</v>
      </c>
      <c r="C104" s="9" t="s">
        <v>28</v>
      </c>
      <c r="D104" s="9" t="s">
        <v>25</v>
      </c>
      <c r="E104" s="9" t="s">
        <v>40</v>
      </c>
      <c r="F104" s="9">
        <v>153</v>
      </c>
      <c r="G104" s="9">
        <v>1739</v>
      </c>
      <c r="H104" s="9">
        <v>1011</v>
      </c>
      <c r="I104" s="9">
        <v>6108</v>
      </c>
      <c r="J104" s="9">
        <v>6023</v>
      </c>
      <c r="K104" s="9">
        <v>6240</v>
      </c>
      <c r="L104" s="14">
        <v>9405</v>
      </c>
    </row>
    <row r="105" spans="1:12" x14ac:dyDescent="0.35">
      <c r="A105" s="13" t="s">
        <v>41</v>
      </c>
      <c r="B105" s="9">
        <v>2016</v>
      </c>
      <c r="C105" s="9" t="s">
        <v>26</v>
      </c>
      <c r="D105" s="9" t="s">
        <v>25</v>
      </c>
      <c r="E105" s="9" t="s">
        <v>37</v>
      </c>
      <c r="F105" s="9">
        <v>7451</v>
      </c>
      <c r="G105" s="9">
        <v>2188</v>
      </c>
      <c r="H105" s="9">
        <v>943</v>
      </c>
      <c r="I105" s="9">
        <v>9212</v>
      </c>
      <c r="J105" s="9">
        <v>8580</v>
      </c>
      <c r="K105" s="9">
        <v>9283</v>
      </c>
      <c r="L105" s="14">
        <v>9335</v>
      </c>
    </row>
    <row r="106" spans="1:12" x14ac:dyDescent="0.35">
      <c r="A106" s="13" t="s">
        <v>41</v>
      </c>
      <c r="B106" s="9">
        <v>2014</v>
      </c>
      <c r="C106" s="9" t="s">
        <v>31</v>
      </c>
      <c r="D106" s="9" t="s">
        <v>27</v>
      </c>
      <c r="E106" s="9" t="s">
        <v>42</v>
      </c>
      <c r="F106" s="9">
        <v>5562</v>
      </c>
      <c r="G106" s="9">
        <v>3299</v>
      </c>
      <c r="H106" s="9">
        <v>7822</v>
      </c>
      <c r="I106" s="9">
        <v>735</v>
      </c>
      <c r="J106" s="9">
        <v>7163</v>
      </c>
      <c r="K106" s="9">
        <v>1630</v>
      </c>
      <c r="L106" s="14">
        <v>4271</v>
      </c>
    </row>
    <row r="107" spans="1:12" x14ac:dyDescent="0.35">
      <c r="A107" s="13" t="s">
        <v>45</v>
      </c>
      <c r="B107" s="9">
        <v>2017</v>
      </c>
      <c r="C107" s="9" t="s">
        <v>30</v>
      </c>
      <c r="D107" s="9" t="s">
        <v>27</v>
      </c>
      <c r="E107" s="9" t="s">
        <v>37</v>
      </c>
      <c r="F107" s="9">
        <v>1583</v>
      </c>
      <c r="G107" s="9">
        <v>6310</v>
      </c>
      <c r="H107" s="9">
        <v>7595</v>
      </c>
      <c r="I107" s="9">
        <v>8197</v>
      </c>
      <c r="J107" s="9">
        <v>5201</v>
      </c>
      <c r="K107" s="9">
        <v>6283</v>
      </c>
      <c r="L107" s="14">
        <v>3962</v>
      </c>
    </row>
    <row r="108" spans="1:12" x14ac:dyDescent="0.35">
      <c r="A108" s="13" t="s">
        <v>38</v>
      </c>
      <c r="B108" s="9">
        <v>2017</v>
      </c>
      <c r="C108" s="9" t="s">
        <v>30</v>
      </c>
      <c r="D108" s="9" t="s">
        <v>29</v>
      </c>
      <c r="E108" s="9" t="s">
        <v>37</v>
      </c>
      <c r="F108" s="9">
        <v>1484</v>
      </c>
      <c r="G108" s="9">
        <v>9344</v>
      </c>
      <c r="H108" s="9">
        <v>8091</v>
      </c>
      <c r="I108" s="9">
        <v>5992</v>
      </c>
      <c r="J108" s="9">
        <v>5718</v>
      </c>
      <c r="K108" s="9">
        <v>2171</v>
      </c>
      <c r="L108" s="14">
        <v>1740</v>
      </c>
    </row>
    <row r="109" spans="1:12" x14ac:dyDescent="0.35">
      <c r="A109" s="13" t="s">
        <v>41</v>
      </c>
      <c r="B109" s="9">
        <v>2018</v>
      </c>
      <c r="C109" s="9" t="s">
        <v>31</v>
      </c>
      <c r="D109" s="9" t="s">
        <v>27</v>
      </c>
      <c r="E109" s="9" t="s">
        <v>42</v>
      </c>
      <c r="F109" s="9">
        <v>3250</v>
      </c>
      <c r="G109" s="9">
        <v>3366</v>
      </c>
      <c r="H109" s="9">
        <v>1609</v>
      </c>
      <c r="I109" s="9">
        <v>1255</v>
      </c>
      <c r="J109" s="9">
        <v>9229</v>
      </c>
      <c r="K109" s="9">
        <v>8245</v>
      </c>
      <c r="L109" s="14">
        <v>8040</v>
      </c>
    </row>
    <row r="110" spans="1:12" x14ac:dyDescent="0.35">
      <c r="A110" s="13" t="s">
        <v>43</v>
      </c>
      <c r="B110" s="9">
        <v>2016</v>
      </c>
      <c r="C110" s="9" t="s">
        <v>24</v>
      </c>
      <c r="D110" s="9" t="s">
        <v>29</v>
      </c>
      <c r="E110" s="9" t="s">
        <v>37</v>
      </c>
      <c r="F110" s="9">
        <v>834</v>
      </c>
      <c r="G110" s="9">
        <v>1128</v>
      </c>
      <c r="H110" s="9">
        <v>7288</v>
      </c>
      <c r="I110" s="9">
        <v>3854</v>
      </c>
      <c r="J110" s="9">
        <v>5229</v>
      </c>
      <c r="K110" s="9">
        <v>3923</v>
      </c>
      <c r="L110" s="14">
        <v>9055</v>
      </c>
    </row>
    <row r="111" spans="1:12" x14ac:dyDescent="0.35">
      <c r="A111" s="13" t="s">
        <v>43</v>
      </c>
      <c r="B111" s="9">
        <v>2017</v>
      </c>
      <c r="C111" s="9" t="s">
        <v>24</v>
      </c>
      <c r="D111" s="9" t="s">
        <v>27</v>
      </c>
      <c r="E111" s="9" t="s">
        <v>42</v>
      </c>
      <c r="F111" s="9">
        <v>9774</v>
      </c>
      <c r="G111" s="9">
        <v>9054</v>
      </c>
      <c r="H111" s="9">
        <v>1887</v>
      </c>
      <c r="I111" s="9">
        <v>807</v>
      </c>
      <c r="J111" s="9">
        <v>9185</v>
      </c>
      <c r="K111" s="9">
        <v>1629</v>
      </c>
      <c r="L111" s="14">
        <v>4262</v>
      </c>
    </row>
    <row r="112" spans="1:12" x14ac:dyDescent="0.35">
      <c r="A112" s="13" t="s">
        <v>50</v>
      </c>
      <c r="B112" s="9">
        <v>2018</v>
      </c>
      <c r="C112" s="9" t="s">
        <v>24</v>
      </c>
      <c r="D112" s="9" t="s">
        <v>25</v>
      </c>
      <c r="E112" s="9" t="s">
        <v>37</v>
      </c>
      <c r="F112" s="9">
        <v>5818</v>
      </c>
      <c r="G112" s="9">
        <v>6226</v>
      </c>
      <c r="H112" s="9">
        <v>9155</v>
      </c>
      <c r="I112" s="9">
        <v>2280</v>
      </c>
      <c r="J112" s="9">
        <v>2466</v>
      </c>
      <c r="K112" s="9">
        <v>9205</v>
      </c>
      <c r="L112" s="14">
        <v>205</v>
      </c>
    </row>
    <row r="113" spans="1:12" x14ac:dyDescent="0.35">
      <c r="A113" s="13" t="s">
        <v>44</v>
      </c>
      <c r="B113" s="9">
        <v>2014</v>
      </c>
      <c r="C113" s="9" t="s">
        <v>30</v>
      </c>
      <c r="D113" s="9" t="s">
        <v>29</v>
      </c>
      <c r="E113" s="9" t="s">
        <v>40</v>
      </c>
      <c r="F113" s="9">
        <v>2528</v>
      </c>
      <c r="G113" s="9">
        <v>4541</v>
      </c>
      <c r="H113" s="9">
        <v>1769</v>
      </c>
      <c r="I113" s="9">
        <v>2547</v>
      </c>
      <c r="J113" s="9">
        <v>5044</v>
      </c>
      <c r="K113" s="9">
        <v>8894</v>
      </c>
      <c r="L113" s="14">
        <v>4683</v>
      </c>
    </row>
    <row r="114" spans="1:12" x14ac:dyDescent="0.35">
      <c r="A114" s="13" t="s">
        <v>50</v>
      </c>
      <c r="B114" s="9">
        <v>2015</v>
      </c>
      <c r="C114" s="9" t="s">
        <v>28</v>
      </c>
      <c r="D114" s="9" t="s">
        <v>27</v>
      </c>
      <c r="E114" s="9" t="s">
        <v>42</v>
      </c>
      <c r="F114" s="9">
        <v>8393</v>
      </c>
      <c r="G114" s="9">
        <v>4887</v>
      </c>
      <c r="H114" s="9">
        <v>4075</v>
      </c>
      <c r="I114" s="9">
        <v>692</v>
      </c>
      <c r="J114" s="9">
        <v>9463</v>
      </c>
      <c r="K114" s="9">
        <v>4675</v>
      </c>
      <c r="L114" s="14">
        <v>1300</v>
      </c>
    </row>
    <row r="115" spans="1:12" x14ac:dyDescent="0.35">
      <c r="A115" s="13" t="s">
        <v>43</v>
      </c>
      <c r="B115" s="9">
        <v>2015</v>
      </c>
      <c r="C115" s="9" t="s">
        <v>28</v>
      </c>
      <c r="D115" s="9" t="s">
        <v>29</v>
      </c>
      <c r="E115" s="9" t="s">
        <v>42</v>
      </c>
      <c r="F115" s="9">
        <v>3308</v>
      </c>
      <c r="G115" s="9">
        <v>294</v>
      </c>
      <c r="H115" s="9">
        <v>6105</v>
      </c>
      <c r="I115" s="9">
        <v>4674</v>
      </c>
      <c r="J115" s="9">
        <v>3174</v>
      </c>
      <c r="K115" s="9">
        <v>5289</v>
      </c>
      <c r="L115" s="14">
        <v>2712</v>
      </c>
    </row>
    <row r="116" spans="1:12" x14ac:dyDescent="0.35">
      <c r="A116" s="13" t="s">
        <v>49</v>
      </c>
      <c r="B116" s="9">
        <v>2014</v>
      </c>
      <c r="C116" s="9" t="s">
        <v>28</v>
      </c>
      <c r="D116" s="9" t="s">
        <v>29</v>
      </c>
      <c r="E116" s="9" t="s">
        <v>40</v>
      </c>
      <c r="F116" s="9">
        <v>174</v>
      </c>
      <c r="G116" s="9">
        <v>8662</v>
      </c>
      <c r="H116" s="9">
        <v>4209</v>
      </c>
      <c r="I116" s="9">
        <v>6868</v>
      </c>
      <c r="J116" s="9">
        <v>3854</v>
      </c>
      <c r="K116" s="9">
        <v>537</v>
      </c>
      <c r="L116" s="14">
        <v>1937</v>
      </c>
    </row>
    <row r="117" spans="1:12" x14ac:dyDescent="0.35">
      <c r="A117" s="13" t="s">
        <v>46</v>
      </c>
      <c r="B117" s="9">
        <v>2017</v>
      </c>
      <c r="C117" s="9" t="s">
        <v>26</v>
      </c>
      <c r="D117" s="9" t="s">
        <v>29</v>
      </c>
      <c r="E117" s="9" t="s">
        <v>42</v>
      </c>
      <c r="F117" s="9">
        <v>3514</v>
      </c>
      <c r="G117" s="9">
        <v>208</v>
      </c>
      <c r="H117" s="9">
        <v>4940</v>
      </c>
      <c r="I117" s="9">
        <v>8636</v>
      </c>
      <c r="J117" s="9">
        <v>414</v>
      </c>
      <c r="K117" s="9">
        <v>4292</v>
      </c>
      <c r="L117" s="14">
        <v>5529</v>
      </c>
    </row>
    <row r="118" spans="1:12" x14ac:dyDescent="0.35">
      <c r="A118" s="13" t="s">
        <v>47</v>
      </c>
      <c r="B118" s="9">
        <v>2014</v>
      </c>
      <c r="C118" s="9" t="s">
        <v>28</v>
      </c>
      <c r="D118" s="9" t="s">
        <v>29</v>
      </c>
      <c r="E118" s="9" t="s">
        <v>37</v>
      </c>
      <c r="F118" s="9">
        <v>7772</v>
      </c>
      <c r="G118" s="9">
        <v>2711</v>
      </c>
      <c r="H118" s="9">
        <v>9861</v>
      </c>
      <c r="I118" s="9">
        <v>5355</v>
      </c>
      <c r="J118" s="9">
        <v>3470</v>
      </c>
      <c r="K118" s="9">
        <v>9417</v>
      </c>
      <c r="L118" s="14">
        <v>3153</v>
      </c>
    </row>
    <row r="119" spans="1:12" x14ac:dyDescent="0.35">
      <c r="A119" s="13" t="s">
        <v>45</v>
      </c>
      <c r="B119" s="9">
        <v>2016</v>
      </c>
      <c r="C119" s="9" t="s">
        <v>30</v>
      </c>
      <c r="D119" s="9" t="s">
        <v>29</v>
      </c>
      <c r="E119" s="9" t="s">
        <v>40</v>
      </c>
      <c r="F119" s="9">
        <v>2300</v>
      </c>
      <c r="G119" s="9">
        <v>117</v>
      </c>
      <c r="H119" s="9">
        <v>694</v>
      </c>
      <c r="I119" s="9">
        <v>5258</v>
      </c>
      <c r="J119" s="9">
        <v>1857</v>
      </c>
      <c r="K119" s="9">
        <v>3710</v>
      </c>
      <c r="L119" s="14">
        <v>7450</v>
      </c>
    </row>
    <row r="120" spans="1:12" x14ac:dyDescent="0.35">
      <c r="A120" s="13" t="s">
        <v>46</v>
      </c>
      <c r="B120" s="9">
        <v>2018</v>
      </c>
      <c r="C120" s="9" t="s">
        <v>31</v>
      </c>
      <c r="D120" s="9" t="s">
        <v>29</v>
      </c>
      <c r="E120" s="9" t="s">
        <v>37</v>
      </c>
      <c r="F120" s="9">
        <v>2757</v>
      </c>
      <c r="G120" s="9">
        <v>5212</v>
      </c>
      <c r="H120" s="9">
        <v>3496</v>
      </c>
      <c r="I120" s="9">
        <v>3390</v>
      </c>
      <c r="J120" s="9">
        <v>8713</v>
      </c>
      <c r="K120" s="9">
        <v>5835</v>
      </c>
      <c r="L120" s="14">
        <v>9986</v>
      </c>
    </row>
    <row r="121" spans="1:12" x14ac:dyDescent="0.35">
      <c r="A121" s="13" t="s">
        <v>50</v>
      </c>
      <c r="B121" s="9">
        <v>2016</v>
      </c>
      <c r="C121" s="9" t="s">
        <v>30</v>
      </c>
      <c r="D121" s="9" t="s">
        <v>29</v>
      </c>
      <c r="E121" s="9" t="s">
        <v>37</v>
      </c>
      <c r="F121" s="9">
        <v>474</v>
      </c>
      <c r="G121" s="9">
        <v>581</v>
      </c>
      <c r="H121" s="9">
        <v>8059</v>
      </c>
      <c r="I121" s="9">
        <v>1412</v>
      </c>
      <c r="J121" s="9">
        <v>8091</v>
      </c>
      <c r="K121" s="9">
        <v>5789</v>
      </c>
      <c r="L121" s="14">
        <v>855</v>
      </c>
    </row>
    <row r="122" spans="1:12" x14ac:dyDescent="0.35">
      <c r="A122" s="13" t="s">
        <v>43</v>
      </c>
      <c r="B122" s="9">
        <v>2014</v>
      </c>
      <c r="C122" s="9" t="s">
        <v>28</v>
      </c>
      <c r="D122" s="9" t="s">
        <v>29</v>
      </c>
      <c r="E122" s="9" t="s">
        <v>37</v>
      </c>
      <c r="F122" s="9">
        <v>1699</v>
      </c>
      <c r="G122" s="9">
        <v>7373</v>
      </c>
      <c r="H122" s="9">
        <v>7354</v>
      </c>
      <c r="I122" s="9">
        <v>5934</v>
      </c>
      <c r="J122" s="9">
        <v>334</v>
      </c>
      <c r="K122" s="9">
        <v>1918</v>
      </c>
      <c r="L122" s="14">
        <v>3277</v>
      </c>
    </row>
    <row r="123" spans="1:12" x14ac:dyDescent="0.35">
      <c r="A123" s="13" t="s">
        <v>39</v>
      </c>
      <c r="B123" s="9">
        <v>2014</v>
      </c>
      <c r="C123" s="9" t="s">
        <v>31</v>
      </c>
      <c r="D123" s="9" t="s">
        <v>25</v>
      </c>
      <c r="E123" s="9" t="s">
        <v>42</v>
      </c>
      <c r="F123" s="9">
        <v>6136</v>
      </c>
      <c r="G123" s="9">
        <v>8198</v>
      </c>
      <c r="H123" s="9">
        <v>3690</v>
      </c>
      <c r="I123" s="9">
        <v>5034</v>
      </c>
      <c r="J123" s="9">
        <v>8956</v>
      </c>
      <c r="K123" s="9">
        <v>7826</v>
      </c>
      <c r="L123" s="14">
        <v>1110</v>
      </c>
    </row>
    <row r="124" spans="1:12" x14ac:dyDescent="0.35">
      <c r="A124" s="13" t="s">
        <v>39</v>
      </c>
      <c r="B124" s="9">
        <v>2018</v>
      </c>
      <c r="C124" s="9" t="s">
        <v>31</v>
      </c>
      <c r="D124" s="9" t="s">
        <v>25</v>
      </c>
      <c r="E124" s="9" t="s">
        <v>42</v>
      </c>
      <c r="F124" s="9">
        <v>4582</v>
      </c>
      <c r="G124" s="9">
        <v>9281</v>
      </c>
      <c r="H124" s="9">
        <v>3456</v>
      </c>
      <c r="I124" s="9">
        <v>3615</v>
      </c>
      <c r="J124" s="9">
        <v>6215</v>
      </c>
      <c r="K124" s="9">
        <v>1210</v>
      </c>
      <c r="L124" s="14">
        <v>1520</v>
      </c>
    </row>
    <row r="125" spans="1:12" x14ac:dyDescent="0.35">
      <c r="A125" s="13" t="s">
        <v>50</v>
      </c>
      <c r="B125" s="9">
        <v>2018</v>
      </c>
      <c r="C125" s="9" t="s">
        <v>31</v>
      </c>
      <c r="D125" s="9" t="s">
        <v>29</v>
      </c>
      <c r="E125" s="9" t="s">
        <v>37</v>
      </c>
      <c r="F125" s="9">
        <v>2216</v>
      </c>
      <c r="G125" s="9">
        <v>3046</v>
      </c>
      <c r="H125" s="9">
        <v>3245</v>
      </c>
      <c r="I125" s="9">
        <v>6889</v>
      </c>
      <c r="J125" s="9">
        <v>2799</v>
      </c>
      <c r="K125" s="9">
        <v>2787</v>
      </c>
      <c r="L125" s="14">
        <v>7632</v>
      </c>
    </row>
    <row r="126" spans="1:12" x14ac:dyDescent="0.35">
      <c r="A126" s="13" t="s">
        <v>38</v>
      </c>
      <c r="B126" s="9">
        <v>2015</v>
      </c>
      <c r="C126" s="9" t="s">
        <v>28</v>
      </c>
      <c r="D126" s="9" t="s">
        <v>29</v>
      </c>
      <c r="E126" s="9" t="s">
        <v>42</v>
      </c>
      <c r="F126" s="9">
        <v>791</v>
      </c>
      <c r="G126" s="9">
        <v>4207</v>
      </c>
      <c r="H126" s="9">
        <v>2257</v>
      </c>
      <c r="I126" s="9">
        <v>5163</v>
      </c>
      <c r="J126" s="9">
        <v>6789</v>
      </c>
      <c r="K126" s="9">
        <v>2897</v>
      </c>
      <c r="L126" s="14">
        <v>3670</v>
      </c>
    </row>
    <row r="127" spans="1:12" x14ac:dyDescent="0.35">
      <c r="A127" s="13" t="s">
        <v>44</v>
      </c>
      <c r="B127" s="9">
        <v>2016</v>
      </c>
      <c r="C127" s="9" t="s">
        <v>24</v>
      </c>
      <c r="D127" s="9" t="s">
        <v>29</v>
      </c>
      <c r="E127" s="9" t="s">
        <v>40</v>
      </c>
      <c r="F127" s="9">
        <v>8748</v>
      </c>
      <c r="G127" s="9">
        <v>2199</v>
      </c>
      <c r="H127" s="9">
        <v>9140</v>
      </c>
      <c r="I127" s="9">
        <v>9014</v>
      </c>
      <c r="J127" s="9">
        <v>2340</v>
      </c>
      <c r="K127" s="9">
        <v>3875</v>
      </c>
      <c r="L127" s="14">
        <v>9176</v>
      </c>
    </row>
    <row r="128" spans="1:12" x14ac:dyDescent="0.35">
      <c r="A128" s="13" t="s">
        <v>43</v>
      </c>
      <c r="B128" s="9">
        <v>2016</v>
      </c>
      <c r="C128" s="9" t="s">
        <v>24</v>
      </c>
      <c r="D128" s="9" t="s">
        <v>27</v>
      </c>
      <c r="E128" s="9" t="s">
        <v>40</v>
      </c>
      <c r="F128" s="9">
        <v>6917</v>
      </c>
      <c r="G128" s="9">
        <v>640</v>
      </c>
      <c r="H128" s="9">
        <v>2245</v>
      </c>
      <c r="I128" s="9">
        <v>2438</v>
      </c>
      <c r="J128" s="9">
        <v>4249</v>
      </c>
      <c r="K128" s="9">
        <v>5199</v>
      </c>
      <c r="L128" s="14">
        <v>1307</v>
      </c>
    </row>
    <row r="129" spans="1:12" x14ac:dyDescent="0.35">
      <c r="A129" s="13" t="s">
        <v>50</v>
      </c>
      <c r="B129" s="9">
        <v>2015</v>
      </c>
      <c r="C129" s="9" t="s">
        <v>31</v>
      </c>
      <c r="D129" s="9" t="s">
        <v>27</v>
      </c>
      <c r="E129" s="9" t="s">
        <v>42</v>
      </c>
      <c r="F129" s="9">
        <v>5807</v>
      </c>
      <c r="G129" s="9">
        <v>3072</v>
      </c>
      <c r="H129" s="9">
        <v>594</v>
      </c>
      <c r="I129" s="9">
        <v>5049</v>
      </c>
      <c r="J129" s="9">
        <v>3750</v>
      </c>
      <c r="K129" s="9">
        <v>3043</v>
      </c>
      <c r="L129" s="14">
        <v>3242</v>
      </c>
    </row>
    <row r="130" spans="1:12" x14ac:dyDescent="0.35">
      <c r="A130" s="13" t="s">
        <v>44</v>
      </c>
      <c r="B130" s="9">
        <v>2014</v>
      </c>
      <c r="C130" s="9" t="s">
        <v>24</v>
      </c>
      <c r="D130" s="9" t="s">
        <v>25</v>
      </c>
      <c r="E130" s="9" t="s">
        <v>37</v>
      </c>
      <c r="F130" s="9">
        <v>1027</v>
      </c>
      <c r="G130" s="9">
        <v>6426</v>
      </c>
      <c r="H130" s="9">
        <v>9728</v>
      </c>
      <c r="I130" s="9">
        <v>2598</v>
      </c>
      <c r="J130" s="9">
        <v>8608</v>
      </c>
      <c r="K130" s="9">
        <v>2415</v>
      </c>
      <c r="L130" s="14">
        <v>9080</v>
      </c>
    </row>
    <row r="131" spans="1:12" x14ac:dyDescent="0.35">
      <c r="A131" s="13" t="s">
        <v>39</v>
      </c>
      <c r="B131" s="9">
        <v>2017</v>
      </c>
      <c r="C131" s="9" t="s">
        <v>28</v>
      </c>
      <c r="D131" s="9" t="s">
        <v>29</v>
      </c>
      <c r="E131" s="9" t="s">
        <v>37</v>
      </c>
      <c r="F131" s="9">
        <v>6262</v>
      </c>
      <c r="G131" s="9">
        <v>6663</v>
      </c>
      <c r="H131" s="9">
        <v>3581</v>
      </c>
      <c r="I131" s="9">
        <v>8561</v>
      </c>
      <c r="J131" s="9">
        <v>9673</v>
      </c>
      <c r="K131" s="9">
        <v>4149</v>
      </c>
      <c r="L131" s="14">
        <v>2384</v>
      </c>
    </row>
    <row r="132" spans="1:12" x14ac:dyDescent="0.35">
      <c r="A132" s="13" t="s">
        <v>39</v>
      </c>
      <c r="B132" s="9">
        <v>2018</v>
      </c>
      <c r="C132" s="9" t="s">
        <v>31</v>
      </c>
      <c r="D132" s="9" t="s">
        <v>29</v>
      </c>
      <c r="E132" s="9" t="s">
        <v>42</v>
      </c>
      <c r="F132" s="9">
        <v>1022</v>
      </c>
      <c r="G132" s="9">
        <v>2151</v>
      </c>
      <c r="H132" s="9">
        <v>2552</v>
      </c>
      <c r="I132" s="9">
        <v>9925</v>
      </c>
      <c r="J132" s="9">
        <v>3357</v>
      </c>
      <c r="K132" s="9">
        <v>7431</v>
      </c>
      <c r="L132" s="14">
        <v>7491</v>
      </c>
    </row>
    <row r="133" spans="1:12" x14ac:dyDescent="0.35">
      <c r="A133" s="13" t="s">
        <v>39</v>
      </c>
      <c r="B133" s="9">
        <v>2017</v>
      </c>
      <c r="C133" s="9" t="s">
        <v>31</v>
      </c>
      <c r="D133" s="9" t="s">
        <v>25</v>
      </c>
      <c r="E133" s="9" t="s">
        <v>40</v>
      </c>
      <c r="F133" s="9">
        <v>5410</v>
      </c>
      <c r="G133" s="9">
        <v>9729</v>
      </c>
      <c r="H133" s="9">
        <v>7002</v>
      </c>
      <c r="I133" s="9">
        <v>5460</v>
      </c>
      <c r="J133" s="9">
        <v>5410</v>
      </c>
      <c r="K133" s="9">
        <v>9458</v>
      </c>
      <c r="L133" s="14">
        <v>6842</v>
      </c>
    </row>
    <row r="134" spans="1:12" x14ac:dyDescent="0.35">
      <c r="A134" s="13" t="s">
        <v>44</v>
      </c>
      <c r="B134" s="9">
        <v>2018</v>
      </c>
      <c r="C134" s="9" t="s">
        <v>24</v>
      </c>
      <c r="D134" s="9" t="s">
        <v>25</v>
      </c>
      <c r="E134" s="9" t="s">
        <v>37</v>
      </c>
      <c r="F134" s="9">
        <v>3731</v>
      </c>
      <c r="G134" s="9">
        <v>4571</v>
      </c>
      <c r="H134" s="9">
        <v>3247</v>
      </c>
      <c r="I134" s="9">
        <v>5843</v>
      </c>
      <c r="J134" s="9">
        <v>1923</v>
      </c>
      <c r="K134" s="9">
        <v>4784</v>
      </c>
      <c r="L134" s="14">
        <v>5293</v>
      </c>
    </row>
    <row r="135" spans="1:12" x14ac:dyDescent="0.35">
      <c r="A135" s="13" t="s">
        <v>36</v>
      </c>
      <c r="B135" s="9">
        <v>2018</v>
      </c>
      <c r="C135" s="9" t="s">
        <v>31</v>
      </c>
      <c r="D135" s="9" t="s">
        <v>29</v>
      </c>
      <c r="E135" s="9" t="s">
        <v>37</v>
      </c>
      <c r="F135" s="9">
        <v>7422</v>
      </c>
      <c r="G135" s="9">
        <v>1456</v>
      </c>
      <c r="H135" s="9">
        <v>6409</v>
      </c>
      <c r="I135" s="9">
        <v>7926</v>
      </c>
      <c r="J135" s="9">
        <v>7733</v>
      </c>
      <c r="K135" s="9">
        <v>9573</v>
      </c>
      <c r="L135" s="14">
        <v>5967</v>
      </c>
    </row>
    <row r="136" spans="1:12" x14ac:dyDescent="0.35">
      <c r="A136" s="13" t="s">
        <v>43</v>
      </c>
      <c r="B136" s="9">
        <v>2018</v>
      </c>
      <c r="C136" s="9" t="s">
        <v>30</v>
      </c>
      <c r="D136" s="9" t="s">
        <v>27</v>
      </c>
      <c r="E136" s="9" t="s">
        <v>42</v>
      </c>
      <c r="F136" s="9">
        <v>5248</v>
      </c>
      <c r="G136" s="9">
        <v>2040</v>
      </c>
      <c r="H136" s="9">
        <v>5659</v>
      </c>
      <c r="I136" s="9">
        <v>889</v>
      </c>
      <c r="J136" s="9">
        <v>4506</v>
      </c>
      <c r="K136" s="9">
        <v>7001</v>
      </c>
      <c r="L136" s="14">
        <v>6091</v>
      </c>
    </row>
    <row r="137" spans="1:12" x14ac:dyDescent="0.35">
      <c r="A137" s="13" t="s">
        <v>39</v>
      </c>
      <c r="B137" s="9">
        <v>2015</v>
      </c>
      <c r="C137" s="9" t="s">
        <v>26</v>
      </c>
      <c r="D137" s="9" t="s">
        <v>27</v>
      </c>
      <c r="E137" s="9" t="s">
        <v>42</v>
      </c>
      <c r="F137" s="9">
        <v>6287</v>
      </c>
      <c r="G137" s="9">
        <v>1825</v>
      </c>
      <c r="H137" s="9">
        <v>7409</v>
      </c>
      <c r="I137" s="9">
        <v>5863</v>
      </c>
      <c r="J137" s="9">
        <v>6466</v>
      </c>
      <c r="K137" s="9">
        <v>6703</v>
      </c>
      <c r="L137" s="14">
        <v>5285</v>
      </c>
    </row>
    <row r="138" spans="1:12" x14ac:dyDescent="0.35">
      <c r="A138" s="13" t="s">
        <v>39</v>
      </c>
      <c r="B138" s="9">
        <v>2016</v>
      </c>
      <c r="C138" s="9" t="s">
        <v>30</v>
      </c>
      <c r="D138" s="9" t="s">
        <v>25</v>
      </c>
      <c r="E138" s="9" t="s">
        <v>42</v>
      </c>
      <c r="F138" s="9">
        <v>5996</v>
      </c>
      <c r="G138" s="9">
        <v>2889</v>
      </c>
      <c r="H138" s="9">
        <v>8138</v>
      </c>
      <c r="I138" s="9">
        <v>319</v>
      </c>
      <c r="J138" s="9">
        <v>1401</v>
      </c>
      <c r="K138" s="9">
        <v>6522</v>
      </c>
      <c r="L138" s="14">
        <v>3665</v>
      </c>
    </row>
    <row r="139" spans="1:12" x14ac:dyDescent="0.35">
      <c r="A139" s="13" t="s">
        <v>41</v>
      </c>
      <c r="B139" s="9">
        <v>2017</v>
      </c>
      <c r="C139" s="9" t="s">
        <v>28</v>
      </c>
      <c r="D139" s="9" t="s">
        <v>27</v>
      </c>
      <c r="E139" s="9" t="s">
        <v>37</v>
      </c>
      <c r="F139" s="9">
        <v>8016</v>
      </c>
      <c r="G139" s="9">
        <v>710</v>
      </c>
      <c r="H139" s="9">
        <v>1462</v>
      </c>
      <c r="I139" s="9">
        <v>3063</v>
      </c>
      <c r="J139" s="9">
        <v>9561</v>
      </c>
      <c r="K139" s="9">
        <v>2113</v>
      </c>
      <c r="L139" s="14">
        <v>922</v>
      </c>
    </row>
    <row r="140" spans="1:12" x14ac:dyDescent="0.35">
      <c r="A140" s="13" t="s">
        <v>50</v>
      </c>
      <c r="B140" s="9">
        <v>2014</v>
      </c>
      <c r="C140" s="9" t="s">
        <v>30</v>
      </c>
      <c r="D140" s="9" t="s">
        <v>29</v>
      </c>
      <c r="E140" s="9" t="s">
        <v>42</v>
      </c>
      <c r="F140" s="9">
        <v>810</v>
      </c>
      <c r="G140" s="9">
        <v>3131</v>
      </c>
      <c r="H140" s="9">
        <v>8489</v>
      </c>
      <c r="I140" s="9">
        <v>8037</v>
      </c>
      <c r="J140" s="9">
        <v>2499</v>
      </c>
      <c r="K140" s="9">
        <v>8745</v>
      </c>
      <c r="L140" s="14">
        <v>3883</v>
      </c>
    </row>
    <row r="141" spans="1:12" x14ac:dyDescent="0.35">
      <c r="A141" s="13" t="s">
        <v>49</v>
      </c>
      <c r="B141" s="9">
        <v>2016</v>
      </c>
      <c r="C141" s="9" t="s">
        <v>30</v>
      </c>
      <c r="D141" s="9" t="s">
        <v>27</v>
      </c>
      <c r="E141" s="9" t="s">
        <v>37</v>
      </c>
      <c r="F141" s="9">
        <v>7030</v>
      </c>
      <c r="G141" s="9">
        <v>8396</v>
      </c>
      <c r="H141" s="9">
        <v>7073</v>
      </c>
      <c r="I141" s="9">
        <v>7723</v>
      </c>
      <c r="J141" s="9">
        <v>7546</v>
      </c>
      <c r="K141" s="9">
        <v>7974</v>
      </c>
      <c r="L141" s="14">
        <v>7942</v>
      </c>
    </row>
    <row r="142" spans="1:12" x14ac:dyDescent="0.35">
      <c r="A142" s="13" t="s">
        <v>46</v>
      </c>
      <c r="B142" s="9">
        <v>2017</v>
      </c>
      <c r="C142" s="9" t="s">
        <v>26</v>
      </c>
      <c r="D142" s="9" t="s">
        <v>27</v>
      </c>
      <c r="E142" s="9" t="s">
        <v>37</v>
      </c>
      <c r="F142" s="9">
        <v>9867</v>
      </c>
      <c r="G142" s="9">
        <v>6153</v>
      </c>
      <c r="H142" s="9">
        <v>5282</v>
      </c>
      <c r="I142" s="9">
        <v>6877</v>
      </c>
      <c r="J142" s="9">
        <v>1770</v>
      </c>
      <c r="K142" s="9">
        <v>6146</v>
      </c>
      <c r="L142" s="14">
        <v>5178</v>
      </c>
    </row>
    <row r="143" spans="1:12" x14ac:dyDescent="0.35">
      <c r="A143" s="13" t="s">
        <v>36</v>
      </c>
      <c r="B143" s="9">
        <v>2017</v>
      </c>
      <c r="C143" s="9" t="s">
        <v>31</v>
      </c>
      <c r="D143" s="9" t="s">
        <v>25</v>
      </c>
      <c r="E143" s="9" t="s">
        <v>42</v>
      </c>
      <c r="F143" s="9">
        <v>1</v>
      </c>
      <c r="G143" s="9">
        <v>2544</v>
      </c>
      <c r="H143" s="9">
        <v>3131</v>
      </c>
      <c r="I143" s="9">
        <v>9529</v>
      </c>
      <c r="J143" s="9">
        <v>4887</v>
      </c>
      <c r="K143" s="9">
        <v>1955</v>
      </c>
      <c r="L143" s="14">
        <v>7033</v>
      </c>
    </row>
    <row r="144" spans="1:12" x14ac:dyDescent="0.35">
      <c r="A144" s="13" t="s">
        <v>36</v>
      </c>
      <c r="B144" s="9">
        <v>2018</v>
      </c>
      <c r="C144" s="9" t="s">
        <v>28</v>
      </c>
      <c r="D144" s="9" t="s">
        <v>27</v>
      </c>
      <c r="E144" s="9" t="s">
        <v>37</v>
      </c>
      <c r="F144" s="9">
        <v>679</v>
      </c>
      <c r="G144" s="9">
        <v>7809</v>
      </c>
      <c r="H144" s="9">
        <v>5262</v>
      </c>
      <c r="I144" s="9">
        <v>4540</v>
      </c>
      <c r="J144" s="9">
        <v>2000</v>
      </c>
      <c r="K144" s="9">
        <v>2253</v>
      </c>
      <c r="L144" s="14">
        <v>827</v>
      </c>
    </row>
    <row r="145" spans="1:12" x14ac:dyDescent="0.35">
      <c r="A145" s="13" t="s">
        <v>47</v>
      </c>
      <c r="B145" s="9">
        <v>2015</v>
      </c>
      <c r="C145" s="9" t="s">
        <v>30</v>
      </c>
      <c r="D145" s="9" t="s">
        <v>27</v>
      </c>
      <c r="E145" s="9" t="s">
        <v>42</v>
      </c>
      <c r="F145" s="9">
        <v>8481</v>
      </c>
      <c r="G145" s="9">
        <v>9496</v>
      </c>
      <c r="H145" s="9">
        <v>4459</v>
      </c>
      <c r="I145" s="9">
        <v>8726</v>
      </c>
      <c r="J145" s="9">
        <v>1247</v>
      </c>
      <c r="K145" s="9">
        <v>1710</v>
      </c>
      <c r="L145" s="14">
        <v>3018</v>
      </c>
    </row>
    <row r="146" spans="1:12" x14ac:dyDescent="0.35">
      <c r="A146" s="13" t="s">
        <v>46</v>
      </c>
      <c r="B146" s="9">
        <v>2017</v>
      </c>
      <c r="C146" s="9" t="s">
        <v>30</v>
      </c>
      <c r="D146" s="9" t="s">
        <v>29</v>
      </c>
      <c r="E146" s="9" t="s">
        <v>37</v>
      </c>
      <c r="F146" s="9">
        <v>222</v>
      </c>
      <c r="G146" s="9">
        <v>7794</v>
      </c>
      <c r="H146" s="9">
        <v>9531</v>
      </c>
      <c r="I146" s="9">
        <v>9591</v>
      </c>
      <c r="J146" s="9">
        <v>1509</v>
      </c>
      <c r="K146" s="9">
        <v>8000</v>
      </c>
      <c r="L146" s="14">
        <v>7448</v>
      </c>
    </row>
    <row r="147" spans="1:12" x14ac:dyDescent="0.35">
      <c r="A147" s="13" t="s">
        <v>46</v>
      </c>
      <c r="B147" s="9">
        <v>2018</v>
      </c>
      <c r="C147" s="9" t="s">
        <v>30</v>
      </c>
      <c r="D147" s="9" t="s">
        <v>29</v>
      </c>
      <c r="E147" s="9" t="s">
        <v>42</v>
      </c>
      <c r="F147" s="9">
        <v>8526</v>
      </c>
      <c r="G147" s="9">
        <v>9601</v>
      </c>
      <c r="H147" s="9">
        <v>1820</v>
      </c>
      <c r="I147" s="9">
        <v>9652</v>
      </c>
      <c r="J147" s="9">
        <v>2952</v>
      </c>
      <c r="K147" s="9">
        <v>5670</v>
      </c>
      <c r="L147" s="14">
        <v>5728</v>
      </c>
    </row>
    <row r="148" spans="1:12" x14ac:dyDescent="0.35">
      <c r="A148" s="13" t="s">
        <v>44</v>
      </c>
      <c r="B148" s="9">
        <v>2018</v>
      </c>
      <c r="C148" s="9" t="s">
        <v>31</v>
      </c>
      <c r="D148" s="9" t="s">
        <v>29</v>
      </c>
      <c r="E148" s="9" t="s">
        <v>40</v>
      </c>
      <c r="F148" s="9">
        <v>5525</v>
      </c>
      <c r="G148" s="9">
        <v>5182</v>
      </c>
      <c r="H148" s="9">
        <v>7478</v>
      </c>
      <c r="I148" s="9">
        <v>9696</v>
      </c>
      <c r="J148" s="9">
        <v>7267</v>
      </c>
      <c r="K148" s="9">
        <v>8930</v>
      </c>
      <c r="L148" s="14">
        <v>5311</v>
      </c>
    </row>
    <row r="149" spans="1:12" x14ac:dyDescent="0.35">
      <c r="A149" s="13" t="s">
        <v>49</v>
      </c>
      <c r="B149" s="9">
        <v>2018</v>
      </c>
      <c r="C149" s="9" t="s">
        <v>26</v>
      </c>
      <c r="D149" s="9" t="s">
        <v>27</v>
      </c>
      <c r="E149" s="9" t="s">
        <v>40</v>
      </c>
      <c r="F149" s="9">
        <v>7421</v>
      </c>
      <c r="G149" s="9">
        <v>4630</v>
      </c>
      <c r="H149" s="9">
        <v>2114</v>
      </c>
      <c r="I149" s="9">
        <v>5224</v>
      </c>
      <c r="J149" s="9">
        <v>7870</v>
      </c>
      <c r="K149" s="9">
        <v>2524</v>
      </c>
      <c r="L149" s="14">
        <v>4257</v>
      </c>
    </row>
    <row r="150" spans="1:12" x14ac:dyDescent="0.35">
      <c r="A150" s="13" t="s">
        <v>50</v>
      </c>
      <c r="B150" s="9">
        <v>2015</v>
      </c>
      <c r="C150" s="9" t="s">
        <v>24</v>
      </c>
      <c r="D150" s="9" t="s">
        <v>25</v>
      </c>
      <c r="E150" s="9" t="s">
        <v>42</v>
      </c>
      <c r="F150" s="9">
        <v>7598</v>
      </c>
      <c r="G150" s="9">
        <v>2229</v>
      </c>
      <c r="H150" s="9">
        <v>290</v>
      </c>
      <c r="I150" s="9">
        <v>202</v>
      </c>
      <c r="J150" s="9">
        <v>7460</v>
      </c>
      <c r="K150" s="9">
        <v>4062</v>
      </c>
      <c r="L150" s="14">
        <v>3689</v>
      </c>
    </row>
    <row r="151" spans="1:12" x14ac:dyDescent="0.35">
      <c r="A151" s="13" t="s">
        <v>41</v>
      </c>
      <c r="B151" s="9">
        <v>2018</v>
      </c>
      <c r="C151" s="9" t="s">
        <v>30</v>
      </c>
      <c r="D151" s="9" t="s">
        <v>25</v>
      </c>
      <c r="E151" s="9" t="s">
        <v>37</v>
      </c>
      <c r="F151" s="9">
        <v>2782</v>
      </c>
      <c r="G151" s="9">
        <v>7107</v>
      </c>
      <c r="H151" s="9">
        <v>5962</v>
      </c>
      <c r="I151" s="9">
        <v>9299</v>
      </c>
      <c r="J151" s="9">
        <v>4299</v>
      </c>
      <c r="K151" s="9">
        <v>3465</v>
      </c>
      <c r="L151" s="14">
        <v>3945</v>
      </c>
    </row>
    <row r="152" spans="1:12" x14ac:dyDescent="0.35">
      <c r="A152" s="13" t="s">
        <v>49</v>
      </c>
      <c r="B152" s="9">
        <v>2016</v>
      </c>
      <c r="C152" s="9" t="s">
        <v>30</v>
      </c>
      <c r="D152" s="9" t="s">
        <v>25</v>
      </c>
      <c r="E152" s="9" t="s">
        <v>37</v>
      </c>
      <c r="F152" s="9">
        <v>9768</v>
      </c>
      <c r="G152" s="9">
        <v>725</v>
      </c>
      <c r="H152" s="9">
        <v>8131</v>
      </c>
      <c r="I152" s="9">
        <v>8766</v>
      </c>
      <c r="J152" s="9">
        <v>1203</v>
      </c>
      <c r="K152" s="9">
        <v>6410</v>
      </c>
      <c r="L152" s="14">
        <v>9005</v>
      </c>
    </row>
    <row r="153" spans="1:12" x14ac:dyDescent="0.35">
      <c r="A153" s="13" t="s">
        <v>50</v>
      </c>
      <c r="B153" s="9">
        <v>2018</v>
      </c>
      <c r="C153" s="9" t="s">
        <v>24</v>
      </c>
      <c r="D153" s="9" t="s">
        <v>27</v>
      </c>
      <c r="E153" s="9" t="s">
        <v>37</v>
      </c>
      <c r="F153" s="9">
        <v>410</v>
      </c>
      <c r="G153" s="9">
        <v>3497</v>
      </c>
      <c r="H153" s="9">
        <v>4316</v>
      </c>
      <c r="I153" s="9">
        <v>5755</v>
      </c>
      <c r="J153" s="9">
        <v>2785</v>
      </c>
      <c r="K153" s="9">
        <v>4430</v>
      </c>
      <c r="L153" s="14">
        <v>9566</v>
      </c>
    </row>
    <row r="154" spans="1:12" x14ac:dyDescent="0.35">
      <c r="A154" s="13" t="s">
        <v>45</v>
      </c>
      <c r="B154" s="9">
        <v>2017</v>
      </c>
      <c r="C154" s="9" t="s">
        <v>28</v>
      </c>
      <c r="D154" s="9" t="s">
        <v>25</v>
      </c>
      <c r="E154" s="9" t="s">
        <v>37</v>
      </c>
      <c r="F154" s="9">
        <v>9605</v>
      </c>
      <c r="G154" s="9">
        <v>7913</v>
      </c>
      <c r="H154" s="9">
        <v>6848</v>
      </c>
      <c r="I154" s="9">
        <v>112</v>
      </c>
      <c r="J154" s="9">
        <v>6026</v>
      </c>
      <c r="K154" s="9">
        <v>3067</v>
      </c>
      <c r="L154" s="14">
        <v>6047</v>
      </c>
    </row>
    <row r="155" spans="1:12" x14ac:dyDescent="0.35">
      <c r="A155" s="13" t="s">
        <v>39</v>
      </c>
      <c r="B155" s="9">
        <v>2017</v>
      </c>
      <c r="C155" s="9" t="s">
        <v>24</v>
      </c>
      <c r="D155" s="9" t="s">
        <v>29</v>
      </c>
      <c r="E155" s="9" t="s">
        <v>37</v>
      </c>
      <c r="F155" s="9">
        <v>553</v>
      </c>
      <c r="G155" s="9">
        <v>440</v>
      </c>
      <c r="H155" s="9">
        <v>3826</v>
      </c>
      <c r="I155" s="9">
        <v>6350</v>
      </c>
      <c r="J155" s="9">
        <v>9444</v>
      </c>
      <c r="K155" s="9">
        <v>3327</v>
      </c>
      <c r="L155" s="14">
        <v>4271</v>
      </c>
    </row>
    <row r="156" spans="1:12" x14ac:dyDescent="0.35">
      <c r="A156" s="13" t="s">
        <v>48</v>
      </c>
      <c r="B156" s="9">
        <v>2017</v>
      </c>
      <c r="C156" s="9" t="s">
        <v>24</v>
      </c>
      <c r="D156" s="9" t="s">
        <v>29</v>
      </c>
      <c r="E156" s="9" t="s">
        <v>37</v>
      </c>
      <c r="F156" s="9">
        <v>2239</v>
      </c>
      <c r="G156" s="9">
        <v>3097</v>
      </c>
      <c r="H156" s="9">
        <v>2466</v>
      </c>
      <c r="I156" s="9">
        <v>2578</v>
      </c>
      <c r="J156" s="9">
        <v>4790</v>
      </c>
      <c r="K156" s="9">
        <v>5295</v>
      </c>
      <c r="L156" s="14">
        <v>5956</v>
      </c>
    </row>
    <row r="157" spans="1:12" x14ac:dyDescent="0.35">
      <c r="A157" s="13" t="s">
        <v>41</v>
      </c>
      <c r="B157" s="9">
        <v>2014</v>
      </c>
      <c r="C157" s="9" t="s">
        <v>28</v>
      </c>
      <c r="D157" s="9" t="s">
        <v>29</v>
      </c>
      <c r="E157" s="9" t="s">
        <v>40</v>
      </c>
      <c r="F157" s="9">
        <v>6913</v>
      </c>
      <c r="G157" s="9">
        <v>3455</v>
      </c>
      <c r="H157" s="9">
        <v>2390</v>
      </c>
      <c r="I157" s="9">
        <v>946</v>
      </c>
      <c r="J157" s="9">
        <v>8526</v>
      </c>
      <c r="K157" s="9">
        <v>5732</v>
      </c>
      <c r="L157" s="14">
        <v>6940</v>
      </c>
    </row>
    <row r="158" spans="1:12" x14ac:dyDescent="0.35">
      <c r="A158" s="13" t="s">
        <v>44</v>
      </c>
      <c r="B158" s="9">
        <v>2014</v>
      </c>
      <c r="C158" s="9" t="s">
        <v>24</v>
      </c>
      <c r="D158" s="9" t="s">
        <v>25</v>
      </c>
      <c r="E158" s="9" t="s">
        <v>40</v>
      </c>
      <c r="F158" s="9">
        <v>9261</v>
      </c>
      <c r="G158" s="9">
        <v>9459</v>
      </c>
      <c r="H158" s="9">
        <v>3056</v>
      </c>
      <c r="I158" s="9">
        <v>2509</v>
      </c>
      <c r="J158" s="9">
        <v>5169</v>
      </c>
      <c r="K158" s="9">
        <v>6736</v>
      </c>
      <c r="L158" s="14">
        <v>9449</v>
      </c>
    </row>
    <row r="159" spans="1:12" x14ac:dyDescent="0.35">
      <c r="A159" s="13" t="s">
        <v>49</v>
      </c>
      <c r="B159" s="9">
        <v>2017</v>
      </c>
      <c r="C159" s="9" t="s">
        <v>24</v>
      </c>
      <c r="D159" s="9" t="s">
        <v>27</v>
      </c>
      <c r="E159" s="9" t="s">
        <v>40</v>
      </c>
      <c r="F159" s="9">
        <v>5419</v>
      </c>
      <c r="G159" s="9">
        <v>3632</v>
      </c>
      <c r="H159" s="9">
        <v>3352</v>
      </c>
      <c r="I159" s="9">
        <v>19</v>
      </c>
      <c r="J159" s="9">
        <v>8783</v>
      </c>
      <c r="K159" s="9">
        <v>3692</v>
      </c>
      <c r="L159" s="14">
        <v>3440</v>
      </c>
    </row>
    <row r="160" spans="1:12" x14ac:dyDescent="0.35">
      <c r="A160" s="13" t="s">
        <v>43</v>
      </c>
      <c r="B160" s="9">
        <v>2014</v>
      </c>
      <c r="C160" s="9" t="s">
        <v>30</v>
      </c>
      <c r="D160" s="9" t="s">
        <v>29</v>
      </c>
      <c r="E160" s="9" t="s">
        <v>37</v>
      </c>
      <c r="F160" s="9">
        <v>2728</v>
      </c>
      <c r="G160" s="9">
        <v>471</v>
      </c>
      <c r="H160" s="9">
        <v>1896</v>
      </c>
      <c r="I160" s="9">
        <v>8900</v>
      </c>
      <c r="J160" s="9">
        <v>3420</v>
      </c>
      <c r="K160" s="9">
        <v>8202</v>
      </c>
      <c r="L160" s="14">
        <v>1714</v>
      </c>
    </row>
    <row r="161" spans="1:12" x14ac:dyDescent="0.35">
      <c r="A161" s="13" t="s">
        <v>43</v>
      </c>
      <c r="B161" s="9">
        <v>2014</v>
      </c>
      <c r="C161" s="9" t="s">
        <v>31</v>
      </c>
      <c r="D161" s="9" t="s">
        <v>27</v>
      </c>
      <c r="E161" s="9" t="s">
        <v>42</v>
      </c>
      <c r="F161" s="9">
        <v>2528</v>
      </c>
      <c r="G161" s="9">
        <v>5312</v>
      </c>
      <c r="H161" s="9">
        <v>8805</v>
      </c>
      <c r="I161" s="9">
        <v>3888</v>
      </c>
      <c r="J161" s="9">
        <v>3875</v>
      </c>
      <c r="K161" s="9">
        <v>6483</v>
      </c>
      <c r="L161" s="14">
        <v>1218</v>
      </c>
    </row>
    <row r="162" spans="1:12" x14ac:dyDescent="0.35">
      <c r="A162" s="13" t="s">
        <v>36</v>
      </c>
      <c r="B162" s="9">
        <v>2016</v>
      </c>
      <c r="C162" s="9" t="s">
        <v>24</v>
      </c>
      <c r="D162" s="9" t="s">
        <v>27</v>
      </c>
      <c r="E162" s="9" t="s">
        <v>42</v>
      </c>
      <c r="F162" s="9">
        <v>6130</v>
      </c>
      <c r="G162" s="9">
        <v>9968</v>
      </c>
      <c r="H162" s="9">
        <v>4597</v>
      </c>
      <c r="I162" s="9">
        <v>4694</v>
      </c>
      <c r="J162" s="9">
        <v>85</v>
      </c>
      <c r="K162" s="9">
        <v>284</v>
      </c>
      <c r="L162" s="14">
        <v>9156</v>
      </c>
    </row>
    <row r="163" spans="1:12" x14ac:dyDescent="0.35">
      <c r="A163" s="13" t="s">
        <v>50</v>
      </c>
      <c r="B163" s="9">
        <v>2015</v>
      </c>
      <c r="C163" s="9" t="s">
        <v>31</v>
      </c>
      <c r="D163" s="9" t="s">
        <v>29</v>
      </c>
      <c r="E163" s="9" t="s">
        <v>42</v>
      </c>
      <c r="F163" s="9">
        <v>555</v>
      </c>
      <c r="G163" s="9">
        <v>3271</v>
      </c>
      <c r="H163" s="9">
        <v>6610</v>
      </c>
      <c r="I163" s="9">
        <v>4095</v>
      </c>
      <c r="J163" s="9">
        <v>3032</v>
      </c>
      <c r="K163" s="9">
        <v>5525</v>
      </c>
      <c r="L163" s="14">
        <v>8416</v>
      </c>
    </row>
    <row r="164" spans="1:12" x14ac:dyDescent="0.35">
      <c r="A164" s="13" t="s">
        <v>45</v>
      </c>
      <c r="B164" s="9">
        <v>2016</v>
      </c>
      <c r="C164" s="9" t="s">
        <v>31</v>
      </c>
      <c r="D164" s="9" t="s">
        <v>25</v>
      </c>
      <c r="E164" s="9" t="s">
        <v>42</v>
      </c>
      <c r="F164" s="9">
        <v>250</v>
      </c>
      <c r="G164" s="9">
        <v>3992</v>
      </c>
      <c r="H164" s="9">
        <v>65</v>
      </c>
      <c r="I164" s="9">
        <v>8540</v>
      </c>
      <c r="J164" s="9">
        <v>8185</v>
      </c>
      <c r="K164" s="9">
        <v>7331</v>
      </c>
      <c r="L164" s="14">
        <v>3246</v>
      </c>
    </row>
    <row r="165" spans="1:12" x14ac:dyDescent="0.35">
      <c r="A165" s="13" t="s">
        <v>46</v>
      </c>
      <c r="B165" s="9">
        <v>2015</v>
      </c>
      <c r="C165" s="9" t="s">
        <v>28</v>
      </c>
      <c r="D165" s="9" t="s">
        <v>29</v>
      </c>
      <c r="E165" s="9" t="s">
        <v>40</v>
      </c>
      <c r="F165" s="9">
        <v>1441</v>
      </c>
      <c r="G165" s="9">
        <v>1220</v>
      </c>
      <c r="H165" s="9">
        <v>5555</v>
      </c>
      <c r="I165" s="9">
        <v>2460</v>
      </c>
      <c r="J165" s="9">
        <v>6180</v>
      </c>
      <c r="K165" s="9">
        <v>2249</v>
      </c>
      <c r="L165" s="14">
        <v>2580</v>
      </c>
    </row>
    <row r="166" spans="1:12" x14ac:dyDescent="0.35">
      <c r="A166" s="13" t="s">
        <v>46</v>
      </c>
      <c r="B166" s="9">
        <v>2018</v>
      </c>
      <c r="C166" s="9" t="s">
        <v>31</v>
      </c>
      <c r="D166" s="9" t="s">
        <v>29</v>
      </c>
      <c r="E166" s="9" t="s">
        <v>42</v>
      </c>
      <c r="F166" s="9">
        <v>4688</v>
      </c>
      <c r="G166" s="9">
        <v>6301</v>
      </c>
      <c r="H166" s="9">
        <v>8283</v>
      </c>
      <c r="I166" s="9">
        <v>7611</v>
      </c>
      <c r="J166" s="9">
        <v>2458</v>
      </c>
      <c r="K166" s="9">
        <v>5504</v>
      </c>
      <c r="L166" s="14">
        <v>936</v>
      </c>
    </row>
    <row r="167" spans="1:12" x14ac:dyDescent="0.35">
      <c r="A167" s="13" t="s">
        <v>50</v>
      </c>
      <c r="B167" s="9">
        <v>2014</v>
      </c>
      <c r="C167" s="9" t="s">
        <v>30</v>
      </c>
      <c r="D167" s="9" t="s">
        <v>27</v>
      </c>
      <c r="E167" s="9" t="s">
        <v>42</v>
      </c>
      <c r="F167" s="9">
        <v>8891</v>
      </c>
      <c r="G167" s="9">
        <v>5599</v>
      </c>
      <c r="H167" s="9">
        <v>7139</v>
      </c>
      <c r="I167" s="9">
        <v>1507</v>
      </c>
      <c r="J167" s="9">
        <v>6939</v>
      </c>
      <c r="K167" s="9">
        <v>8668</v>
      </c>
      <c r="L167" s="14">
        <v>871</v>
      </c>
    </row>
    <row r="168" spans="1:12" x14ac:dyDescent="0.35">
      <c r="A168" s="13" t="s">
        <v>48</v>
      </c>
      <c r="B168" s="9">
        <v>2015</v>
      </c>
      <c r="C168" s="9" t="s">
        <v>24</v>
      </c>
      <c r="D168" s="9" t="s">
        <v>25</v>
      </c>
      <c r="E168" s="9" t="s">
        <v>40</v>
      </c>
      <c r="F168" s="9">
        <v>2010</v>
      </c>
      <c r="G168" s="9">
        <v>8037</v>
      </c>
      <c r="H168" s="9">
        <v>214</v>
      </c>
      <c r="I168" s="9">
        <v>345</v>
      </c>
      <c r="J168" s="9">
        <v>5536</v>
      </c>
      <c r="K168" s="9">
        <v>264</v>
      </c>
      <c r="L168" s="14">
        <v>4681</v>
      </c>
    </row>
    <row r="169" spans="1:12" x14ac:dyDescent="0.35">
      <c r="A169" s="13" t="s">
        <v>44</v>
      </c>
      <c r="B169" s="9">
        <v>2016</v>
      </c>
      <c r="C169" s="9" t="s">
        <v>24</v>
      </c>
      <c r="D169" s="9" t="s">
        <v>27</v>
      </c>
      <c r="E169" s="9" t="s">
        <v>42</v>
      </c>
      <c r="F169" s="9">
        <v>8476</v>
      </c>
      <c r="G169" s="9">
        <v>7004</v>
      </c>
      <c r="H169" s="9">
        <v>7483</v>
      </c>
      <c r="I169" s="9">
        <v>1657</v>
      </c>
      <c r="J169" s="9">
        <v>2246</v>
      </c>
      <c r="K169" s="9">
        <v>5996</v>
      </c>
      <c r="L169" s="14">
        <v>9018</v>
      </c>
    </row>
    <row r="170" spans="1:12" x14ac:dyDescent="0.35">
      <c r="A170" s="13" t="s">
        <v>36</v>
      </c>
      <c r="B170" s="9">
        <v>2016</v>
      </c>
      <c r="C170" s="9" t="s">
        <v>30</v>
      </c>
      <c r="D170" s="9" t="s">
        <v>29</v>
      </c>
      <c r="E170" s="9" t="s">
        <v>40</v>
      </c>
      <c r="F170" s="9">
        <v>3126</v>
      </c>
      <c r="G170" s="9">
        <v>7352</v>
      </c>
      <c r="H170" s="9">
        <v>4156</v>
      </c>
      <c r="I170" s="9">
        <v>5712</v>
      </c>
      <c r="J170" s="9">
        <v>3775</v>
      </c>
      <c r="K170" s="9">
        <v>6404</v>
      </c>
      <c r="L170" s="14">
        <v>9425</v>
      </c>
    </row>
    <row r="171" spans="1:12" x14ac:dyDescent="0.35">
      <c r="A171" s="13" t="s">
        <v>50</v>
      </c>
      <c r="B171" s="9">
        <v>2016</v>
      </c>
      <c r="C171" s="9" t="s">
        <v>30</v>
      </c>
      <c r="D171" s="9" t="s">
        <v>25</v>
      </c>
      <c r="E171" s="9" t="s">
        <v>37</v>
      </c>
      <c r="F171" s="9">
        <v>2883</v>
      </c>
      <c r="G171" s="9">
        <v>6975</v>
      </c>
      <c r="H171" s="9">
        <v>2601</v>
      </c>
      <c r="I171" s="9">
        <v>8363</v>
      </c>
      <c r="J171" s="9">
        <v>2315</v>
      </c>
      <c r="K171" s="9">
        <v>4552</v>
      </c>
      <c r="L171" s="14">
        <v>5922</v>
      </c>
    </row>
    <row r="172" spans="1:12" x14ac:dyDescent="0.35">
      <c r="A172" s="13" t="s">
        <v>39</v>
      </c>
      <c r="B172" s="9">
        <v>2014</v>
      </c>
      <c r="C172" s="9" t="s">
        <v>28</v>
      </c>
      <c r="D172" s="9" t="s">
        <v>27</v>
      </c>
      <c r="E172" s="9" t="s">
        <v>37</v>
      </c>
      <c r="F172" s="9">
        <v>8917</v>
      </c>
      <c r="G172" s="9">
        <v>2173</v>
      </c>
      <c r="H172" s="9">
        <v>3289</v>
      </c>
      <c r="I172" s="9">
        <v>4966</v>
      </c>
      <c r="J172" s="9">
        <v>9923</v>
      </c>
      <c r="K172" s="9">
        <v>2828</v>
      </c>
      <c r="L172" s="14">
        <v>6748</v>
      </c>
    </row>
    <row r="173" spans="1:12" x14ac:dyDescent="0.35">
      <c r="A173" s="13" t="s">
        <v>48</v>
      </c>
      <c r="B173" s="9">
        <v>2016</v>
      </c>
      <c r="C173" s="9" t="s">
        <v>31</v>
      </c>
      <c r="D173" s="9" t="s">
        <v>27</v>
      </c>
      <c r="E173" s="9" t="s">
        <v>37</v>
      </c>
      <c r="F173" s="9">
        <v>7331</v>
      </c>
      <c r="G173" s="9">
        <v>124</v>
      </c>
      <c r="H173" s="9">
        <v>6149</v>
      </c>
      <c r="I173" s="9">
        <v>437</v>
      </c>
      <c r="J173" s="9">
        <v>9151</v>
      </c>
      <c r="K173" s="9">
        <v>6761</v>
      </c>
      <c r="L173" s="14">
        <v>9008</v>
      </c>
    </row>
    <row r="174" spans="1:12" x14ac:dyDescent="0.35">
      <c r="A174" s="13" t="s">
        <v>46</v>
      </c>
      <c r="B174" s="9">
        <v>2017</v>
      </c>
      <c r="C174" s="9" t="s">
        <v>28</v>
      </c>
      <c r="D174" s="9" t="s">
        <v>29</v>
      </c>
      <c r="E174" s="9" t="s">
        <v>42</v>
      </c>
      <c r="F174" s="9">
        <v>5090</v>
      </c>
      <c r="G174" s="9">
        <v>5044</v>
      </c>
      <c r="H174" s="9">
        <v>9716</v>
      </c>
      <c r="I174" s="9">
        <v>4156</v>
      </c>
      <c r="J174" s="9">
        <v>2791</v>
      </c>
      <c r="K174" s="9">
        <v>583</v>
      </c>
      <c r="L174" s="14">
        <v>7280</v>
      </c>
    </row>
    <row r="175" spans="1:12" x14ac:dyDescent="0.35">
      <c r="A175" s="13" t="s">
        <v>39</v>
      </c>
      <c r="B175" s="9">
        <v>2014</v>
      </c>
      <c r="C175" s="9" t="s">
        <v>28</v>
      </c>
      <c r="D175" s="9" t="s">
        <v>25</v>
      </c>
      <c r="E175" s="9" t="s">
        <v>40</v>
      </c>
      <c r="F175" s="9">
        <v>180</v>
      </c>
      <c r="G175" s="9">
        <v>2626</v>
      </c>
      <c r="H175" s="9">
        <v>9728</v>
      </c>
      <c r="I175" s="9">
        <v>1801</v>
      </c>
      <c r="J175" s="9">
        <v>2754</v>
      </c>
      <c r="K175" s="9">
        <v>301</v>
      </c>
      <c r="L175" s="14">
        <v>9845</v>
      </c>
    </row>
    <row r="176" spans="1:12" x14ac:dyDescent="0.35">
      <c r="A176" s="13" t="s">
        <v>48</v>
      </c>
      <c r="B176" s="9">
        <v>2014</v>
      </c>
      <c r="C176" s="9" t="s">
        <v>24</v>
      </c>
      <c r="D176" s="9" t="s">
        <v>29</v>
      </c>
      <c r="E176" s="9" t="s">
        <v>37</v>
      </c>
      <c r="F176" s="9">
        <v>7380</v>
      </c>
      <c r="G176" s="9">
        <v>2112</v>
      </c>
      <c r="H176" s="9">
        <v>9720</v>
      </c>
      <c r="I176" s="9">
        <v>1313</v>
      </c>
      <c r="J176" s="9">
        <v>8168</v>
      </c>
      <c r="K176" s="9">
        <v>6037</v>
      </c>
      <c r="L176" s="14">
        <v>7106</v>
      </c>
    </row>
    <row r="177" spans="1:12" x14ac:dyDescent="0.35">
      <c r="A177" s="13" t="s">
        <v>46</v>
      </c>
      <c r="B177" s="9">
        <v>2018</v>
      </c>
      <c r="C177" s="9" t="s">
        <v>24</v>
      </c>
      <c r="D177" s="9" t="s">
        <v>29</v>
      </c>
      <c r="E177" s="9" t="s">
        <v>37</v>
      </c>
      <c r="F177" s="9">
        <v>2422</v>
      </c>
      <c r="G177" s="9">
        <v>6989</v>
      </c>
      <c r="H177" s="9">
        <v>5073</v>
      </c>
      <c r="I177" s="9">
        <v>6188</v>
      </c>
      <c r="J177" s="9">
        <v>5794</v>
      </c>
      <c r="K177" s="9">
        <v>5848</v>
      </c>
      <c r="L177" s="14">
        <v>7050</v>
      </c>
    </row>
    <row r="178" spans="1:12" x14ac:dyDescent="0.35">
      <c r="A178" s="13" t="s">
        <v>36</v>
      </c>
      <c r="B178" s="9">
        <v>2014</v>
      </c>
      <c r="C178" s="9" t="s">
        <v>30</v>
      </c>
      <c r="D178" s="9" t="s">
        <v>27</v>
      </c>
      <c r="E178" s="9" t="s">
        <v>40</v>
      </c>
      <c r="F178" s="9">
        <v>7391</v>
      </c>
      <c r="G178" s="9">
        <v>2622</v>
      </c>
      <c r="H178" s="9">
        <v>6197</v>
      </c>
      <c r="I178" s="9">
        <v>951</v>
      </c>
      <c r="J178" s="9">
        <v>5794</v>
      </c>
      <c r="K178" s="9">
        <v>5017</v>
      </c>
      <c r="L178" s="14">
        <v>2856</v>
      </c>
    </row>
    <row r="179" spans="1:12" x14ac:dyDescent="0.35">
      <c r="A179" s="13" t="s">
        <v>48</v>
      </c>
      <c r="B179" s="9">
        <v>2014</v>
      </c>
      <c r="C179" s="9" t="s">
        <v>24</v>
      </c>
      <c r="D179" s="9" t="s">
        <v>27</v>
      </c>
      <c r="E179" s="9" t="s">
        <v>42</v>
      </c>
      <c r="F179" s="9">
        <v>7404</v>
      </c>
      <c r="G179" s="9">
        <v>4883</v>
      </c>
      <c r="H179" s="9">
        <v>3019</v>
      </c>
      <c r="I179" s="9">
        <v>2750</v>
      </c>
      <c r="J179" s="9">
        <v>8816</v>
      </c>
      <c r="K179" s="9">
        <v>2687</v>
      </c>
      <c r="L179" s="14">
        <v>5283</v>
      </c>
    </row>
    <row r="180" spans="1:12" x14ac:dyDescent="0.35">
      <c r="A180" s="13" t="s">
        <v>43</v>
      </c>
      <c r="B180" s="9">
        <v>2015</v>
      </c>
      <c r="C180" s="9" t="s">
        <v>31</v>
      </c>
      <c r="D180" s="9" t="s">
        <v>29</v>
      </c>
      <c r="E180" s="9" t="s">
        <v>42</v>
      </c>
      <c r="F180" s="9">
        <v>7858</v>
      </c>
      <c r="G180" s="9">
        <v>2871</v>
      </c>
      <c r="H180" s="9">
        <v>9867</v>
      </c>
      <c r="I180" s="9">
        <v>5230</v>
      </c>
      <c r="J180" s="9">
        <v>9134</v>
      </c>
      <c r="K180" s="9">
        <v>4518</v>
      </c>
      <c r="L180" s="14">
        <v>3567</v>
      </c>
    </row>
    <row r="181" spans="1:12" x14ac:dyDescent="0.35">
      <c r="A181" s="13" t="s">
        <v>39</v>
      </c>
      <c r="B181" s="9">
        <v>2017</v>
      </c>
      <c r="C181" s="9" t="s">
        <v>31</v>
      </c>
      <c r="D181" s="9" t="s">
        <v>29</v>
      </c>
      <c r="E181" s="9" t="s">
        <v>37</v>
      </c>
      <c r="F181" s="9">
        <v>3611</v>
      </c>
      <c r="G181" s="9">
        <v>9965</v>
      </c>
      <c r="H181" s="9">
        <v>121</v>
      </c>
      <c r="I181" s="9">
        <v>6787</v>
      </c>
      <c r="J181" s="9">
        <v>7787</v>
      </c>
      <c r="K181" s="9">
        <v>7945</v>
      </c>
      <c r="L181" s="14">
        <v>8935</v>
      </c>
    </row>
    <row r="182" spans="1:12" x14ac:dyDescent="0.35">
      <c r="A182" s="13" t="s">
        <v>45</v>
      </c>
      <c r="B182" s="9">
        <v>2014</v>
      </c>
      <c r="C182" s="9" t="s">
        <v>30</v>
      </c>
      <c r="D182" s="9" t="s">
        <v>27</v>
      </c>
      <c r="E182" s="9" t="s">
        <v>42</v>
      </c>
      <c r="F182" s="9">
        <v>3674</v>
      </c>
      <c r="G182" s="9">
        <v>3594</v>
      </c>
      <c r="H182" s="9">
        <v>141</v>
      </c>
      <c r="I182" s="9">
        <v>4023</v>
      </c>
      <c r="J182" s="9">
        <v>6702</v>
      </c>
      <c r="K182" s="9">
        <v>7019</v>
      </c>
      <c r="L182" s="14">
        <v>8542</v>
      </c>
    </row>
    <row r="183" spans="1:12" x14ac:dyDescent="0.35">
      <c r="A183" s="13" t="s">
        <v>36</v>
      </c>
      <c r="B183" s="9">
        <v>2018</v>
      </c>
      <c r="C183" s="9" t="s">
        <v>30</v>
      </c>
      <c r="D183" s="9" t="s">
        <v>29</v>
      </c>
      <c r="E183" s="9" t="s">
        <v>42</v>
      </c>
      <c r="F183" s="9">
        <v>8300</v>
      </c>
      <c r="G183" s="9">
        <v>3777</v>
      </c>
      <c r="H183" s="9">
        <v>9870</v>
      </c>
      <c r="I183" s="9">
        <v>650</v>
      </c>
      <c r="J183" s="9">
        <v>6674</v>
      </c>
      <c r="K183" s="9">
        <v>746</v>
      </c>
      <c r="L183" s="14">
        <v>1186</v>
      </c>
    </row>
    <row r="184" spans="1:12" x14ac:dyDescent="0.35">
      <c r="A184" s="13" t="s">
        <v>49</v>
      </c>
      <c r="B184" s="9">
        <v>2017</v>
      </c>
      <c r="C184" s="9" t="s">
        <v>31</v>
      </c>
      <c r="D184" s="9" t="s">
        <v>29</v>
      </c>
      <c r="E184" s="9" t="s">
        <v>40</v>
      </c>
      <c r="F184" s="9">
        <v>9980</v>
      </c>
      <c r="G184" s="9">
        <v>561</v>
      </c>
      <c r="H184" s="9">
        <v>9760</v>
      </c>
      <c r="I184" s="9">
        <v>579</v>
      </c>
      <c r="J184" s="9">
        <v>4133</v>
      </c>
      <c r="K184" s="9">
        <v>7733</v>
      </c>
      <c r="L184" s="14">
        <v>5996</v>
      </c>
    </row>
    <row r="185" spans="1:12" x14ac:dyDescent="0.35">
      <c r="A185" s="13" t="s">
        <v>36</v>
      </c>
      <c r="B185" s="9">
        <v>2018</v>
      </c>
      <c r="C185" s="9" t="s">
        <v>24</v>
      </c>
      <c r="D185" s="9" t="s">
        <v>29</v>
      </c>
      <c r="E185" s="9" t="s">
        <v>37</v>
      </c>
      <c r="F185" s="9">
        <v>9580</v>
      </c>
      <c r="G185" s="9">
        <v>2640</v>
      </c>
      <c r="H185" s="9">
        <v>7427</v>
      </c>
      <c r="I185" s="9">
        <v>9759</v>
      </c>
      <c r="J185" s="9">
        <v>6134</v>
      </c>
      <c r="K185" s="9">
        <v>228</v>
      </c>
      <c r="L185" s="14">
        <v>2445</v>
      </c>
    </row>
    <row r="186" spans="1:12" x14ac:dyDescent="0.35">
      <c r="A186" s="13" t="s">
        <v>47</v>
      </c>
      <c r="B186" s="9">
        <v>2015</v>
      </c>
      <c r="C186" s="9" t="s">
        <v>28</v>
      </c>
      <c r="D186" s="9" t="s">
        <v>29</v>
      </c>
      <c r="E186" s="9" t="s">
        <v>42</v>
      </c>
      <c r="F186" s="9">
        <v>4297</v>
      </c>
      <c r="G186" s="9">
        <v>7208</v>
      </c>
      <c r="H186" s="9">
        <v>8989</v>
      </c>
      <c r="I186" s="9">
        <v>8151</v>
      </c>
      <c r="J186" s="9">
        <v>255</v>
      </c>
      <c r="K186" s="9">
        <v>3593</v>
      </c>
      <c r="L186" s="14">
        <v>7850</v>
      </c>
    </row>
    <row r="187" spans="1:12" x14ac:dyDescent="0.35">
      <c r="A187" s="13" t="s">
        <v>48</v>
      </c>
      <c r="B187" s="9">
        <v>2018</v>
      </c>
      <c r="C187" s="9" t="s">
        <v>30</v>
      </c>
      <c r="D187" s="9" t="s">
        <v>25</v>
      </c>
      <c r="E187" s="9" t="s">
        <v>40</v>
      </c>
      <c r="F187" s="9">
        <v>3482</v>
      </c>
      <c r="G187" s="9">
        <v>2956</v>
      </c>
      <c r="H187" s="9">
        <v>7412</v>
      </c>
      <c r="I187" s="9">
        <v>1734</v>
      </c>
      <c r="J187" s="9">
        <v>1034</v>
      </c>
      <c r="K187" s="9">
        <v>9957</v>
      </c>
      <c r="L187" s="14">
        <v>3331</v>
      </c>
    </row>
    <row r="188" spans="1:12" x14ac:dyDescent="0.35">
      <c r="A188" s="13" t="s">
        <v>49</v>
      </c>
      <c r="B188" s="9">
        <v>2018</v>
      </c>
      <c r="C188" s="9" t="s">
        <v>28</v>
      </c>
      <c r="D188" s="9" t="s">
        <v>27</v>
      </c>
      <c r="E188" s="9" t="s">
        <v>37</v>
      </c>
      <c r="F188" s="9">
        <v>8258</v>
      </c>
      <c r="G188" s="9">
        <v>3179</v>
      </c>
      <c r="H188" s="9">
        <v>3282</v>
      </c>
      <c r="I188" s="9">
        <v>5106</v>
      </c>
      <c r="J188" s="9">
        <v>9391</v>
      </c>
      <c r="K188" s="9">
        <v>1906</v>
      </c>
      <c r="L188" s="14">
        <v>2761</v>
      </c>
    </row>
    <row r="189" spans="1:12" x14ac:dyDescent="0.35">
      <c r="A189" s="13" t="s">
        <v>46</v>
      </c>
      <c r="B189" s="9">
        <v>2016</v>
      </c>
      <c r="C189" s="9" t="s">
        <v>31</v>
      </c>
      <c r="D189" s="9" t="s">
        <v>29</v>
      </c>
      <c r="E189" s="9" t="s">
        <v>42</v>
      </c>
      <c r="F189" s="9">
        <v>9930</v>
      </c>
      <c r="G189" s="9">
        <v>7379</v>
      </c>
      <c r="H189" s="9">
        <v>9972</v>
      </c>
      <c r="I189" s="9">
        <v>9394</v>
      </c>
      <c r="J189" s="9">
        <v>1476</v>
      </c>
      <c r="K189" s="9">
        <v>9385</v>
      </c>
      <c r="L189" s="14">
        <v>5653</v>
      </c>
    </row>
    <row r="190" spans="1:12" x14ac:dyDescent="0.35">
      <c r="A190" s="13" t="s">
        <v>39</v>
      </c>
      <c r="B190" s="9">
        <v>2016</v>
      </c>
      <c r="C190" s="9" t="s">
        <v>24</v>
      </c>
      <c r="D190" s="9" t="s">
        <v>29</v>
      </c>
      <c r="E190" s="9" t="s">
        <v>40</v>
      </c>
      <c r="F190" s="9">
        <v>67</v>
      </c>
      <c r="G190" s="9">
        <v>324</v>
      </c>
      <c r="H190" s="9">
        <v>420</v>
      </c>
      <c r="I190" s="9">
        <v>8977</v>
      </c>
      <c r="J190" s="9">
        <v>4253</v>
      </c>
      <c r="K190" s="9">
        <v>5369</v>
      </c>
      <c r="L190" s="14">
        <v>6830</v>
      </c>
    </row>
    <row r="191" spans="1:12" x14ac:dyDescent="0.35">
      <c r="A191" s="13" t="s">
        <v>48</v>
      </c>
      <c r="B191" s="9">
        <v>2014</v>
      </c>
      <c r="C191" s="9" t="s">
        <v>24</v>
      </c>
      <c r="D191" s="9" t="s">
        <v>27</v>
      </c>
      <c r="E191" s="9" t="s">
        <v>37</v>
      </c>
      <c r="F191" s="9">
        <v>3336</v>
      </c>
      <c r="G191" s="9">
        <v>9601</v>
      </c>
      <c r="H191" s="9">
        <v>2849</v>
      </c>
      <c r="I191" s="9">
        <v>3019</v>
      </c>
      <c r="J191" s="9">
        <v>2335</v>
      </c>
      <c r="K191" s="9">
        <v>422</v>
      </c>
      <c r="L191" s="14">
        <v>2795</v>
      </c>
    </row>
    <row r="192" spans="1:12" x14ac:dyDescent="0.35">
      <c r="A192" s="13" t="s">
        <v>45</v>
      </c>
      <c r="B192" s="9">
        <v>2018</v>
      </c>
      <c r="C192" s="9" t="s">
        <v>31</v>
      </c>
      <c r="D192" s="9" t="s">
        <v>25</v>
      </c>
      <c r="E192" s="9" t="s">
        <v>37</v>
      </c>
      <c r="F192" s="9">
        <v>3192</v>
      </c>
      <c r="G192" s="9">
        <v>1104</v>
      </c>
      <c r="H192" s="9">
        <v>9070</v>
      </c>
      <c r="I192" s="9">
        <v>249</v>
      </c>
      <c r="J192" s="9">
        <v>7633</v>
      </c>
      <c r="K192" s="9">
        <v>7821</v>
      </c>
      <c r="L192" s="14">
        <v>401</v>
      </c>
    </row>
    <row r="193" spans="1:12" x14ac:dyDescent="0.35">
      <c r="A193" s="13" t="s">
        <v>38</v>
      </c>
      <c r="B193" s="9">
        <v>2018</v>
      </c>
      <c r="C193" s="9" t="s">
        <v>28</v>
      </c>
      <c r="D193" s="9" t="s">
        <v>27</v>
      </c>
      <c r="E193" s="9" t="s">
        <v>40</v>
      </c>
      <c r="F193" s="9">
        <v>3797</v>
      </c>
      <c r="G193" s="9">
        <v>4902</v>
      </c>
      <c r="H193" s="9">
        <v>9946</v>
      </c>
      <c r="I193" s="9">
        <v>4173</v>
      </c>
      <c r="J193" s="9">
        <v>8846</v>
      </c>
      <c r="K193" s="9">
        <v>2063</v>
      </c>
      <c r="L193" s="14">
        <v>7857</v>
      </c>
    </row>
    <row r="194" spans="1:12" x14ac:dyDescent="0.35">
      <c r="A194" s="13" t="s">
        <v>45</v>
      </c>
      <c r="B194" s="9">
        <v>2015</v>
      </c>
      <c r="C194" s="9" t="s">
        <v>24</v>
      </c>
      <c r="D194" s="9" t="s">
        <v>29</v>
      </c>
      <c r="E194" s="9" t="s">
        <v>40</v>
      </c>
      <c r="F194" s="9">
        <v>2187</v>
      </c>
      <c r="G194" s="9">
        <v>687</v>
      </c>
      <c r="H194" s="9">
        <v>8072</v>
      </c>
      <c r="I194" s="9">
        <v>7176</v>
      </c>
      <c r="J194" s="9">
        <v>9117</v>
      </c>
      <c r="K194" s="9">
        <v>3537</v>
      </c>
      <c r="L194" s="14">
        <v>7919</v>
      </c>
    </row>
    <row r="195" spans="1:12" x14ac:dyDescent="0.35">
      <c r="A195" s="13" t="s">
        <v>47</v>
      </c>
      <c r="B195" s="9">
        <v>2014</v>
      </c>
      <c r="C195" s="9" t="s">
        <v>31</v>
      </c>
      <c r="D195" s="9" t="s">
        <v>29</v>
      </c>
      <c r="E195" s="9" t="s">
        <v>40</v>
      </c>
      <c r="F195" s="9">
        <v>56</v>
      </c>
      <c r="G195" s="9">
        <v>4518</v>
      </c>
      <c r="H195" s="9">
        <v>9158</v>
      </c>
      <c r="I195" s="9">
        <v>9255</v>
      </c>
      <c r="J195" s="9">
        <v>1605</v>
      </c>
      <c r="K195" s="9">
        <v>975</v>
      </c>
      <c r="L195" s="14">
        <v>940</v>
      </c>
    </row>
    <row r="196" spans="1:12" x14ac:dyDescent="0.35">
      <c r="A196" s="13" t="s">
        <v>47</v>
      </c>
      <c r="B196" s="9">
        <v>2014</v>
      </c>
      <c r="C196" s="9" t="s">
        <v>28</v>
      </c>
      <c r="D196" s="9" t="s">
        <v>25</v>
      </c>
      <c r="E196" s="9" t="s">
        <v>42</v>
      </c>
      <c r="F196" s="9">
        <v>9765</v>
      </c>
      <c r="G196" s="9">
        <v>8255</v>
      </c>
      <c r="H196" s="9">
        <v>8392</v>
      </c>
      <c r="I196" s="9">
        <v>5445</v>
      </c>
      <c r="J196" s="9">
        <v>9850</v>
      </c>
      <c r="K196" s="9">
        <v>7721</v>
      </c>
      <c r="L196" s="14">
        <v>3041</v>
      </c>
    </row>
    <row r="197" spans="1:12" x14ac:dyDescent="0.35">
      <c r="A197" s="13" t="s">
        <v>45</v>
      </c>
      <c r="B197" s="9">
        <v>2014</v>
      </c>
      <c r="C197" s="9" t="s">
        <v>24</v>
      </c>
      <c r="D197" s="9" t="s">
        <v>25</v>
      </c>
      <c r="E197" s="9" t="s">
        <v>42</v>
      </c>
      <c r="F197" s="9">
        <v>5577</v>
      </c>
      <c r="G197" s="9">
        <v>4241</v>
      </c>
      <c r="H197" s="9">
        <v>2171</v>
      </c>
      <c r="I197" s="9">
        <v>8427</v>
      </c>
      <c r="J197" s="9">
        <v>7727</v>
      </c>
      <c r="K197" s="9">
        <v>8754</v>
      </c>
      <c r="L197" s="14">
        <v>8937</v>
      </c>
    </row>
    <row r="198" spans="1:12" x14ac:dyDescent="0.35">
      <c r="A198" s="13" t="s">
        <v>36</v>
      </c>
      <c r="B198" s="9">
        <v>2018</v>
      </c>
      <c r="C198" s="9" t="s">
        <v>31</v>
      </c>
      <c r="D198" s="9" t="s">
        <v>29</v>
      </c>
      <c r="E198" s="9" t="s">
        <v>40</v>
      </c>
      <c r="F198" s="9">
        <v>8463</v>
      </c>
      <c r="G198" s="9">
        <v>2748</v>
      </c>
      <c r="H198" s="9">
        <v>4685</v>
      </c>
      <c r="I198" s="9">
        <v>2072</v>
      </c>
      <c r="J198" s="9">
        <v>3467</v>
      </c>
      <c r="K198" s="9">
        <v>3247</v>
      </c>
      <c r="L198" s="14">
        <v>7793</v>
      </c>
    </row>
    <row r="199" spans="1:12" x14ac:dyDescent="0.35">
      <c r="A199" s="13" t="s">
        <v>47</v>
      </c>
      <c r="B199" s="9">
        <v>2017</v>
      </c>
      <c r="C199" s="9" t="s">
        <v>24</v>
      </c>
      <c r="D199" s="9" t="s">
        <v>27</v>
      </c>
      <c r="E199" s="9" t="s">
        <v>37</v>
      </c>
      <c r="F199" s="9">
        <v>1709</v>
      </c>
      <c r="G199" s="9">
        <v>9476</v>
      </c>
      <c r="H199" s="9">
        <v>5340</v>
      </c>
      <c r="I199" s="9">
        <v>6773</v>
      </c>
      <c r="J199" s="9">
        <v>9523</v>
      </c>
      <c r="K199" s="9">
        <v>4577</v>
      </c>
      <c r="L199" s="14">
        <v>8788</v>
      </c>
    </row>
    <row r="200" spans="1:12" x14ac:dyDescent="0.35">
      <c r="A200" s="13" t="s">
        <v>44</v>
      </c>
      <c r="B200" s="9">
        <v>2014</v>
      </c>
      <c r="C200" s="9" t="s">
        <v>24</v>
      </c>
      <c r="D200" s="9" t="s">
        <v>29</v>
      </c>
      <c r="E200" s="9" t="s">
        <v>37</v>
      </c>
      <c r="F200" s="9">
        <v>4033</v>
      </c>
      <c r="G200" s="9">
        <v>4859</v>
      </c>
      <c r="H200" s="9">
        <v>885</v>
      </c>
      <c r="I200" s="9">
        <v>6664</v>
      </c>
      <c r="J200" s="9">
        <v>5894</v>
      </c>
      <c r="K200" s="9">
        <v>2796</v>
      </c>
      <c r="L200" s="14">
        <v>208</v>
      </c>
    </row>
    <row r="201" spans="1:12" x14ac:dyDescent="0.35">
      <c r="A201" s="13" t="s">
        <v>48</v>
      </c>
      <c r="B201" s="9">
        <v>2014</v>
      </c>
      <c r="C201" s="9" t="s">
        <v>31</v>
      </c>
      <c r="D201" s="9" t="s">
        <v>29</v>
      </c>
      <c r="E201" s="9" t="s">
        <v>37</v>
      </c>
      <c r="F201" s="9">
        <v>1521</v>
      </c>
      <c r="G201" s="9">
        <v>105</v>
      </c>
      <c r="H201" s="9">
        <v>3278</v>
      </c>
      <c r="I201" s="9">
        <v>7401</v>
      </c>
      <c r="J201" s="9">
        <v>562</v>
      </c>
      <c r="K201" s="9">
        <v>6618</v>
      </c>
      <c r="L201" s="14">
        <v>3545</v>
      </c>
    </row>
    <row r="202" spans="1:12" x14ac:dyDescent="0.35">
      <c r="A202" s="13" t="s">
        <v>38</v>
      </c>
      <c r="B202" s="9">
        <v>2016</v>
      </c>
      <c r="C202" s="9" t="s">
        <v>31</v>
      </c>
      <c r="D202" s="9" t="s">
        <v>29</v>
      </c>
      <c r="E202" s="9" t="s">
        <v>37</v>
      </c>
      <c r="F202" s="9">
        <v>3238</v>
      </c>
      <c r="G202" s="9">
        <v>7070</v>
      </c>
      <c r="H202" s="9">
        <v>8770</v>
      </c>
      <c r="I202" s="9">
        <v>3786</v>
      </c>
      <c r="J202" s="9">
        <v>7434</v>
      </c>
      <c r="K202" s="9">
        <v>7925</v>
      </c>
      <c r="L202" s="14">
        <v>7144</v>
      </c>
    </row>
    <row r="203" spans="1:12" x14ac:dyDescent="0.35">
      <c r="A203" s="13" t="s">
        <v>49</v>
      </c>
      <c r="B203" s="9">
        <v>2017</v>
      </c>
      <c r="C203" s="9" t="s">
        <v>31</v>
      </c>
      <c r="D203" s="9" t="s">
        <v>25</v>
      </c>
      <c r="E203" s="9" t="s">
        <v>40</v>
      </c>
      <c r="F203" s="9">
        <v>364</v>
      </c>
      <c r="G203" s="9">
        <v>3993</v>
      </c>
      <c r="H203" s="9">
        <v>5935</v>
      </c>
      <c r="I203" s="9">
        <v>6030</v>
      </c>
      <c r="J203" s="9">
        <v>4294</v>
      </c>
      <c r="K203" s="9">
        <v>1121</v>
      </c>
      <c r="L203" s="14">
        <v>1847</v>
      </c>
    </row>
    <row r="204" spans="1:12" x14ac:dyDescent="0.35">
      <c r="A204" s="13" t="s">
        <v>44</v>
      </c>
      <c r="B204" s="9">
        <v>2018</v>
      </c>
      <c r="C204" s="9" t="s">
        <v>30</v>
      </c>
      <c r="D204" s="9" t="s">
        <v>29</v>
      </c>
      <c r="E204" s="9" t="s">
        <v>37</v>
      </c>
      <c r="F204" s="9">
        <v>960</v>
      </c>
      <c r="G204" s="9">
        <v>1965</v>
      </c>
      <c r="H204" s="9">
        <v>4964</v>
      </c>
      <c r="I204" s="9">
        <v>1950</v>
      </c>
      <c r="J204" s="9">
        <v>3904</v>
      </c>
      <c r="K204" s="9">
        <v>3017</v>
      </c>
      <c r="L204" s="14">
        <v>3559</v>
      </c>
    </row>
    <row r="205" spans="1:12" x14ac:dyDescent="0.35">
      <c r="A205" s="13" t="s">
        <v>49</v>
      </c>
      <c r="B205" s="9">
        <v>2017</v>
      </c>
      <c r="C205" s="9" t="s">
        <v>24</v>
      </c>
      <c r="D205" s="9" t="s">
        <v>25</v>
      </c>
      <c r="E205" s="9" t="s">
        <v>40</v>
      </c>
      <c r="F205" s="9">
        <v>5767</v>
      </c>
      <c r="G205" s="9">
        <v>6446</v>
      </c>
      <c r="H205" s="9">
        <v>3598</v>
      </c>
      <c r="I205" s="9">
        <v>6630</v>
      </c>
      <c r="J205" s="9">
        <v>4079</v>
      </c>
      <c r="K205" s="9">
        <v>5359</v>
      </c>
      <c r="L205" s="14">
        <v>3098</v>
      </c>
    </row>
    <row r="206" spans="1:12" x14ac:dyDescent="0.35">
      <c r="A206" s="13" t="s">
        <v>48</v>
      </c>
      <c r="B206" s="9">
        <v>2016</v>
      </c>
      <c r="C206" s="9" t="s">
        <v>28</v>
      </c>
      <c r="D206" s="9" t="s">
        <v>29</v>
      </c>
      <c r="E206" s="9" t="s">
        <v>42</v>
      </c>
      <c r="F206" s="9">
        <v>6778</v>
      </c>
      <c r="G206" s="9">
        <v>3462</v>
      </c>
      <c r="H206" s="9">
        <v>7675</v>
      </c>
      <c r="I206" s="9">
        <v>1697</v>
      </c>
      <c r="J206" s="9">
        <v>3707</v>
      </c>
      <c r="K206" s="9">
        <v>4462</v>
      </c>
      <c r="L206" s="14">
        <v>5530</v>
      </c>
    </row>
    <row r="207" spans="1:12" x14ac:dyDescent="0.35">
      <c r="A207" s="13" t="s">
        <v>38</v>
      </c>
      <c r="B207" s="9">
        <v>2017</v>
      </c>
      <c r="C207" s="9" t="s">
        <v>24</v>
      </c>
      <c r="D207" s="9" t="s">
        <v>25</v>
      </c>
      <c r="E207" s="9" t="s">
        <v>42</v>
      </c>
      <c r="F207" s="9">
        <v>9771</v>
      </c>
      <c r="G207" s="9">
        <v>1973</v>
      </c>
      <c r="H207" s="9">
        <v>8548</v>
      </c>
      <c r="I207" s="9">
        <v>2424</v>
      </c>
      <c r="J207" s="9">
        <v>2571</v>
      </c>
      <c r="K207" s="9">
        <v>8343</v>
      </c>
      <c r="L207" s="14">
        <v>9176</v>
      </c>
    </row>
    <row r="208" spans="1:12" x14ac:dyDescent="0.35">
      <c r="A208" s="13" t="s">
        <v>44</v>
      </c>
      <c r="B208" s="9">
        <v>2015</v>
      </c>
      <c r="C208" s="9" t="s">
        <v>24</v>
      </c>
      <c r="D208" s="9" t="s">
        <v>29</v>
      </c>
      <c r="E208" s="9" t="s">
        <v>42</v>
      </c>
      <c r="F208" s="9">
        <v>2167</v>
      </c>
      <c r="G208" s="9">
        <v>6112</v>
      </c>
      <c r="H208" s="9">
        <v>3414</v>
      </c>
      <c r="I208" s="9">
        <v>9523</v>
      </c>
      <c r="J208" s="9">
        <v>6604</v>
      </c>
      <c r="K208" s="9">
        <v>2587</v>
      </c>
      <c r="L208" s="14">
        <v>7852</v>
      </c>
    </row>
    <row r="209" spans="1:12" x14ac:dyDescent="0.35">
      <c r="A209" s="13" t="s">
        <v>36</v>
      </c>
      <c r="B209" s="9">
        <v>2018</v>
      </c>
      <c r="C209" s="9" t="s">
        <v>31</v>
      </c>
      <c r="D209" s="9" t="s">
        <v>27</v>
      </c>
      <c r="E209" s="9" t="s">
        <v>42</v>
      </c>
      <c r="F209" s="9">
        <v>9949</v>
      </c>
      <c r="G209" s="9">
        <v>5522</v>
      </c>
      <c r="H209" s="9">
        <v>6516</v>
      </c>
      <c r="I209" s="9">
        <v>3533</v>
      </c>
      <c r="J209" s="9">
        <v>9241</v>
      </c>
      <c r="K209" s="9">
        <v>4291</v>
      </c>
      <c r="L209" s="14">
        <v>4566</v>
      </c>
    </row>
    <row r="210" spans="1:12" x14ac:dyDescent="0.35">
      <c r="A210" s="13" t="s">
        <v>38</v>
      </c>
      <c r="B210" s="9">
        <v>2017</v>
      </c>
      <c r="C210" s="9" t="s">
        <v>30</v>
      </c>
      <c r="D210" s="9" t="s">
        <v>25</v>
      </c>
      <c r="E210" s="9" t="s">
        <v>40</v>
      </c>
      <c r="F210" s="9">
        <v>2306</v>
      </c>
      <c r="G210" s="9">
        <v>2451</v>
      </c>
      <c r="H210" s="9">
        <v>6866</v>
      </c>
      <c r="I210" s="9">
        <v>7402</v>
      </c>
      <c r="J210" s="9">
        <v>8767</v>
      </c>
      <c r="K210" s="9">
        <v>6123</v>
      </c>
      <c r="L210" s="14">
        <v>8961</v>
      </c>
    </row>
    <row r="211" spans="1:12" x14ac:dyDescent="0.35">
      <c r="A211" s="13" t="s">
        <v>43</v>
      </c>
      <c r="B211" s="9">
        <v>2018</v>
      </c>
      <c r="C211" s="9" t="s">
        <v>28</v>
      </c>
      <c r="D211" s="9" t="s">
        <v>25</v>
      </c>
      <c r="E211" s="9" t="s">
        <v>42</v>
      </c>
      <c r="F211" s="9">
        <v>3395</v>
      </c>
      <c r="G211" s="9">
        <v>2409</v>
      </c>
      <c r="H211" s="9">
        <v>3217</v>
      </c>
      <c r="I211" s="9">
        <v>3879</v>
      </c>
      <c r="J211" s="9">
        <v>4090</v>
      </c>
      <c r="K211" s="9">
        <v>3705</v>
      </c>
      <c r="L211" s="14">
        <v>2184</v>
      </c>
    </row>
    <row r="212" spans="1:12" x14ac:dyDescent="0.35">
      <c r="A212" s="13" t="s">
        <v>46</v>
      </c>
      <c r="B212" s="9">
        <v>2018</v>
      </c>
      <c r="C212" s="9" t="s">
        <v>30</v>
      </c>
      <c r="D212" s="9" t="s">
        <v>27</v>
      </c>
      <c r="E212" s="9" t="s">
        <v>40</v>
      </c>
      <c r="F212" s="9">
        <v>7579</v>
      </c>
      <c r="G212" s="9">
        <v>2781</v>
      </c>
      <c r="H212" s="9">
        <v>2825</v>
      </c>
      <c r="I212" s="9">
        <v>8382</v>
      </c>
      <c r="J212" s="9">
        <v>9870</v>
      </c>
      <c r="K212" s="9">
        <v>3597</v>
      </c>
      <c r="L212" s="14">
        <v>3290</v>
      </c>
    </row>
    <row r="213" spans="1:12" x14ac:dyDescent="0.35">
      <c r="A213" s="13" t="s">
        <v>36</v>
      </c>
      <c r="B213" s="9">
        <v>2015</v>
      </c>
      <c r="C213" s="9" t="s">
        <v>24</v>
      </c>
      <c r="D213" s="9" t="s">
        <v>25</v>
      </c>
      <c r="E213" s="9" t="s">
        <v>37</v>
      </c>
      <c r="F213" s="9">
        <v>921</v>
      </c>
      <c r="G213" s="9">
        <v>7268</v>
      </c>
      <c r="H213" s="9">
        <v>9832</v>
      </c>
      <c r="I213" s="9">
        <v>6487</v>
      </c>
      <c r="J213" s="9">
        <v>9655</v>
      </c>
      <c r="K213" s="9">
        <v>1852</v>
      </c>
      <c r="L213" s="14">
        <v>4584</v>
      </c>
    </row>
    <row r="214" spans="1:12" x14ac:dyDescent="0.35">
      <c r="A214" s="13" t="s">
        <v>47</v>
      </c>
      <c r="B214" s="9">
        <v>2016</v>
      </c>
      <c r="C214" s="9" t="s">
        <v>28</v>
      </c>
      <c r="D214" s="9" t="s">
        <v>25</v>
      </c>
      <c r="E214" s="9" t="s">
        <v>42</v>
      </c>
      <c r="F214" s="9">
        <v>5388</v>
      </c>
      <c r="G214" s="9">
        <v>1615</v>
      </c>
      <c r="H214" s="9">
        <v>7931</v>
      </c>
      <c r="I214" s="9">
        <v>5218</v>
      </c>
      <c r="J214" s="9">
        <v>279</v>
      </c>
      <c r="K214" s="9">
        <v>9272</v>
      </c>
      <c r="L214" s="14">
        <v>3001</v>
      </c>
    </row>
    <row r="215" spans="1:12" x14ac:dyDescent="0.35">
      <c r="A215" s="13" t="s">
        <v>38</v>
      </c>
      <c r="B215" s="9">
        <v>2018</v>
      </c>
      <c r="C215" s="9" t="s">
        <v>31</v>
      </c>
      <c r="D215" s="9" t="s">
        <v>27</v>
      </c>
      <c r="E215" s="9" t="s">
        <v>37</v>
      </c>
      <c r="F215" s="9">
        <v>2181</v>
      </c>
      <c r="G215" s="9">
        <v>4302</v>
      </c>
      <c r="H215" s="9">
        <v>6443</v>
      </c>
      <c r="I215" s="9">
        <v>6336</v>
      </c>
      <c r="J215" s="9">
        <v>9110</v>
      </c>
      <c r="K215" s="9">
        <v>2564</v>
      </c>
      <c r="L215" s="14">
        <v>2365</v>
      </c>
    </row>
    <row r="216" spans="1:12" x14ac:dyDescent="0.35">
      <c r="A216" s="13" t="s">
        <v>38</v>
      </c>
      <c r="B216" s="9">
        <v>2018</v>
      </c>
      <c r="C216" s="9" t="s">
        <v>24</v>
      </c>
      <c r="D216" s="9" t="s">
        <v>25</v>
      </c>
      <c r="E216" s="9" t="s">
        <v>40</v>
      </c>
      <c r="F216" s="9">
        <v>5688</v>
      </c>
      <c r="G216" s="9">
        <v>885</v>
      </c>
      <c r="H216" s="9">
        <v>1125</v>
      </c>
      <c r="I216" s="9">
        <v>5540</v>
      </c>
      <c r="J216" s="9">
        <v>7100</v>
      </c>
      <c r="K216" s="9">
        <v>6980</v>
      </c>
      <c r="L216" s="14">
        <v>8599</v>
      </c>
    </row>
    <row r="217" spans="1:12" x14ac:dyDescent="0.35">
      <c r="A217" s="13" t="s">
        <v>46</v>
      </c>
      <c r="B217" s="9">
        <v>2016</v>
      </c>
      <c r="C217" s="9" t="s">
        <v>31</v>
      </c>
      <c r="D217" s="9" t="s">
        <v>29</v>
      </c>
      <c r="E217" s="9" t="s">
        <v>40</v>
      </c>
      <c r="F217" s="9">
        <v>9181</v>
      </c>
      <c r="G217" s="9">
        <v>8859</v>
      </c>
      <c r="H217" s="9">
        <v>3378</v>
      </c>
      <c r="I217" s="9">
        <v>2028</v>
      </c>
      <c r="J217" s="9">
        <v>1407</v>
      </c>
      <c r="K217" s="9">
        <v>8694</v>
      </c>
      <c r="L217" s="14">
        <v>2334</v>
      </c>
    </row>
    <row r="218" spans="1:12" x14ac:dyDescent="0.35">
      <c r="A218" s="13" t="s">
        <v>44</v>
      </c>
      <c r="B218" s="9">
        <v>2016</v>
      </c>
      <c r="C218" s="9" t="s">
        <v>28</v>
      </c>
      <c r="D218" s="9" t="s">
        <v>25</v>
      </c>
      <c r="E218" s="9" t="s">
        <v>37</v>
      </c>
      <c r="F218" s="9">
        <v>7503</v>
      </c>
      <c r="G218" s="9">
        <v>4598</v>
      </c>
      <c r="H218" s="9">
        <v>9542</v>
      </c>
      <c r="I218" s="9">
        <v>1953</v>
      </c>
      <c r="J218" s="9">
        <v>5075</v>
      </c>
      <c r="K218" s="9">
        <v>7585</v>
      </c>
      <c r="L218" s="14">
        <v>8116</v>
      </c>
    </row>
    <row r="219" spans="1:12" x14ac:dyDescent="0.35">
      <c r="A219" s="13" t="s">
        <v>39</v>
      </c>
      <c r="B219" s="9">
        <v>2017</v>
      </c>
      <c r="C219" s="9" t="s">
        <v>30</v>
      </c>
      <c r="D219" s="9" t="s">
        <v>29</v>
      </c>
      <c r="E219" s="9" t="s">
        <v>40</v>
      </c>
      <c r="F219" s="9">
        <v>5538</v>
      </c>
      <c r="G219" s="9">
        <v>4346</v>
      </c>
      <c r="H219" s="9">
        <v>2385</v>
      </c>
      <c r="I219" s="9">
        <v>8196</v>
      </c>
      <c r="J219" s="9">
        <v>1351</v>
      </c>
      <c r="K219" s="9">
        <v>6889</v>
      </c>
      <c r="L219" s="14">
        <v>2251</v>
      </c>
    </row>
    <row r="220" spans="1:12" x14ac:dyDescent="0.35">
      <c r="A220" s="13" t="s">
        <v>49</v>
      </c>
      <c r="B220" s="9">
        <v>2017</v>
      </c>
      <c r="C220" s="9" t="s">
        <v>31</v>
      </c>
      <c r="D220" s="9" t="s">
        <v>25</v>
      </c>
      <c r="E220" s="9" t="s">
        <v>42</v>
      </c>
      <c r="F220" s="9">
        <v>6362</v>
      </c>
      <c r="G220" s="9">
        <v>3038</v>
      </c>
      <c r="H220" s="9">
        <v>7237</v>
      </c>
      <c r="I220" s="9">
        <v>3097</v>
      </c>
      <c r="J220" s="9">
        <v>4485</v>
      </c>
      <c r="K220" s="9">
        <v>5826</v>
      </c>
      <c r="L220" s="14">
        <v>2196</v>
      </c>
    </row>
    <row r="221" spans="1:12" x14ac:dyDescent="0.35">
      <c r="A221" s="13" t="s">
        <v>49</v>
      </c>
      <c r="B221" s="9">
        <v>2017</v>
      </c>
      <c r="C221" s="9" t="s">
        <v>24</v>
      </c>
      <c r="D221" s="9" t="s">
        <v>25</v>
      </c>
      <c r="E221" s="9" t="s">
        <v>42</v>
      </c>
      <c r="F221" s="9">
        <v>1632</v>
      </c>
      <c r="G221" s="9">
        <v>8046</v>
      </c>
      <c r="H221" s="9">
        <v>7050</v>
      </c>
      <c r="I221" s="9">
        <v>8491</v>
      </c>
      <c r="J221" s="9">
        <v>6454</v>
      </c>
      <c r="K221" s="9">
        <v>8791</v>
      </c>
      <c r="L221" s="14">
        <v>7342</v>
      </c>
    </row>
    <row r="222" spans="1:12" x14ac:dyDescent="0.35">
      <c r="A222" s="13" t="s">
        <v>46</v>
      </c>
      <c r="B222" s="9">
        <v>2018</v>
      </c>
      <c r="C222" s="9" t="s">
        <v>28</v>
      </c>
      <c r="D222" s="9" t="s">
        <v>29</v>
      </c>
      <c r="E222" s="9" t="s">
        <v>40</v>
      </c>
      <c r="F222" s="9">
        <v>3351</v>
      </c>
      <c r="G222" s="9">
        <v>7648</v>
      </c>
      <c r="H222" s="9">
        <v>8973</v>
      </c>
      <c r="I222" s="9">
        <v>4120</v>
      </c>
      <c r="J222" s="9">
        <v>9192</v>
      </c>
      <c r="K222" s="9">
        <v>9705</v>
      </c>
      <c r="L222" s="14">
        <v>3750</v>
      </c>
    </row>
    <row r="223" spans="1:12" x14ac:dyDescent="0.35">
      <c r="A223" s="13" t="s">
        <v>43</v>
      </c>
      <c r="B223" s="9">
        <v>2016</v>
      </c>
      <c r="C223" s="9" t="s">
        <v>26</v>
      </c>
      <c r="D223" s="9" t="s">
        <v>25</v>
      </c>
      <c r="E223" s="9" t="s">
        <v>42</v>
      </c>
      <c r="F223" s="9">
        <v>4796</v>
      </c>
      <c r="G223" s="9">
        <v>3638</v>
      </c>
      <c r="H223" s="9">
        <v>693</v>
      </c>
      <c r="I223" s="9">
        <v>9815</v>
      </c>
      <c r="J223" s="9">
        <v>2857</v>
      </c>
      <c r="K223" s="9">
        <v>8549</v>
      </c>
      <c r="L223" s="14">
        <v>547</v>
      </c>
    </row>
    <row r="224" spans="1:12" x14ac:dyDescent="0.35">
      <c r="A224" s="13" t="s">
        <v>48</v>
      </c>
      <c r="B224" s="9">
        <v>2018</v>
      </c>
      <c r="C224" s="9" t="s">
        <v>30</v>
      </c>
      <c r="D224" s="9" t="s">
        <v>29</v>
      </c>
      <c r="E224" s="9" t="s">
        <v>37</v>
      </c>
      <c r="F224" s="9">
        <v>831</v>
      </c>
      <c r="G224" s="9">
        <v>6721</v>
      </c>
      <c r="H224" s="9">
        <v>3087</v>
      </c>
      <c r="I224" s="9">
        <v>4317</v>
      </c>
      <c r="J224" s="9">
        <v>1847</v>
      </c>
      <c r="K224" s="9">
        <v>7874</v>
      </c>
      <c r="L224" s="14">
        <v>9479</v>
      </c>
    </row>
    <row r="225" spans="1:12" x14ac:dyDescent="0.35">
      <c r="A225" s="15" t="s">
        <v>47</v>
      </c>
      <c r="B225" s="16">
        <v>2015</v>
      </c>
      <c r="C225" s="16" t="s">
        <v>28</v>
      </c>
      <c r="D225" s="16" t="s">
        <v>27</v>
      </c>
      <c r="E225" s="16" t="s">
        <v>40</v>
      </c>
      <c r="F225" s="16">
        <v>4530</v>
      </c>
      <c r="G225" s="16">
        <v>9231</v>
      </c>
      <c r="H225" s="16">
        <v>4207</v>
      </c>
      <c r="I225" s="16">
        <v>3907</v>
      </c>
      <c r="J225" s="16">
        <v>7684</v>
      </c>
      <c r="K225" s="16">
        <v>1355</v>
      </c>
      <c r="L225" s="17">
        <v>1948</v>
      </c>
    </row>
  </sheetData>
  <autoFilter ref="A25:L225" xr:uid="{00000000-0009-0000-0000-000002000000}"/>
  <mergeCells count="1">
    <mergeCell ref="B2:P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CCFFCC"/>
  </sheetPr>
  <dimension ref="B1:T42"/>
  <sheetViews>
    <sheetView tabSelected="1" zoomScale="70" zoomScaleNormal="70" workbookViewId="0">
      <selection activeCell="F12" sqref="F12:H12"/>
    </sheetView>
  </sheetViews>
  <sheetFormatPr defaultRowHeight="14.5" x14ac:dyDescent="0.35"/>
  <cols>
    <col min="2" max="2" width="47.54296875" customWidth="1"/>
  </cols>
  <sheetData>
    <row r="1" spans="2:20" ht="15" thickBot="1" x14ac:dyDescent="0.4"/>
    <row r="2" spans="2:20" ht="15" thickTop="1" x14ac:dyDescent="0.35">
      <c r="B2" s="50" t="s">
        <v>77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2"/>
    </row>
    <row r="3" spans="2:20" x14ac:dyDescent="0.35">
      <c r="B3" s="53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5"/>
    </row>
    <row r="4" spans="2:20" x14ac:dyDescent="0.35">
      <c r="B4" s="53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5"/>
    </row>
    <row r="5" spans="2:20" x14ac:dyDescent="0.35">
      <c r="B5" s="53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5"/>
    </row>
    <row r="6" spans="2:20" ht="15" thickBot="1" x14ac:dyDescent="0.4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8"/>
    </row>
    <row r="7" spans="2:20" ht="15" thickTop="1" x14ac:dyDescent="0.35"/>
    <row r="10" spans="2:20" x14ac:dyDescent="0.35">
      <c r="B10" s="19" t="s">
        <v>53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</row>
    <row r="11" spans="2:20" x14ac:dyDescent="0.35"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</row>
    <row r="12" spans="2:20" x14ac:dyDescent="0.35">
      <c r="B12" s="20"/>
      <c r="C12" s="21">
        <v>42736</v>
      </c>
      <c r="D12" s="21">
        <v>42767</v>
      </c>
      <c r="E12" s="21">
        <v>42795</v>
      </c>
      <c r="F12" s="21">
        <v>42826</v>
      </c>
      <c r="G12" s="21">
        <v>42856</v>
      </c>
      <c r="H12" s="21">
        <v>42887</v>
      </c>
      <c r="I12" s="21">
        <v>42917</v>
      </c>
      <c r="J12" s="21">
        <v>42948</v>
      </c>
      <c r="K12" s="21">
        <v>42979</v>
      </c>
      <c r="L12" s="21">
        <v>43009</v>
      </c>
      <c r="M12" s="21">
        <v>43040</v>
      </c>
      <c r="N12" s="21">
        <v>43070</v>
      </c>
      <c r="O12" s="21">
        <v>43101</v>
      </c>
      <c r="P12" s="21">
        <v>43132</v>
      </c>
      <c r="Q12" s="21">
        <v>43160</v>
      </c>
      <c r="R12" s="21">
        <v>43191</v>
      </c>
      <c r="S12" s="21">
        <v>43221</v>
      </c>
      <c r="T12" s="21">
        <v>43252</v>
      </c>
    </row>
    <row r="13" spans="2:20" x14ac:dyDescent="0.35">
      <c r="B13" s="22" t="s">
        <v>54</v>
      </c>
      <c r="C13" s="23">
        <v>468</v>
      </c>
      <c r="D13" s="23">
        <v>498.9</v>
      </c>
      <c r="E13" s="23">
        <v>489.29999999999995</v>
      </c>
      <c r="F13" s="23">
        <v>531.9</v>
      </c>
      <c r="G13" s="23">
        <v>514.29999999999995</v>
      </c>
      <c r="H13" s="23">
        <v>518.4</v>
      </c>
      <c r="I13" s="23">
        <v>510.69999999999993</v>
      </c>
      <c r="J13" s="23">
        <v>549.30000000000007</v>
      </c>
      <c r="K13" s="23">
        <v>586.29999999999995</v>
      </c>
      <c r="L13" s="23">
        <v>619.50000000000011</v>
      </c>
      <c r="M13" s="23">
        <v>618.50000000000011</v>
      </c>
      <c r="N13" s="23">
        <v>628.00000000000011</v>
      </c>
      <c r="O13" s="23">
        <v>623.29999999999995</v>
      </c>
      <c r="P13" s="23">
        <v>620.9</v>
      </c>
      <c r="Q13" s="23">
        <v>623.80000000000007</v>
      </c>
      <c r="R13" s="23">
        <v>629.10000000000014</v>
      </c>
      <c r="S13" s="23">
        <v>585.60000000000014</v>
      </c>
      <c r="T13" s="23">
        <v>537</v>
      </c>
    </row>
    <row r="14" spans="2:20" x14ac:dyDescent="0.35">
      <c r="B14" s="22" t="s">
        <v>55</v>
      </c>
      <c r="C14" s="23">
        <v>432</v>
      </c>
      <c r="D14" s="23">
        <v>464</v>
      </c>
      <c r="E14" s="23">
        <v>454.9</v>
      </c>
      <c r="F14" s="23">
        <v>496.7</v>
      </c>
      <c r="G14" s="23">
        <v>478.2</v>
      </c>
      <c r="H14" s="23">
        <v>482.1</v>
      </c>
      <c r="I14" s="23">
        <v>474.79999999999995</v>
      </c>
      <c r="J14" s="23">
        <v>513.20000000000005</v>
      </c>
      <c r="K14" s="23">
        <v>549.19999999999993</v>
      </c>
      <c r="L14" s="23">
        <v>582.90000000000009</v>
      </c>
      <c r="M14" s="23">
        <v>583.00000000000011</v>
      </c>
      <c r="N14" s="23">
        <v>592.10000000000014</v>
      </c>
      <c r="O14" s="23">
        <v>588.5</v>
      </c>
      <c r="P14" s="23">
        <v>585.79999999999995</v>
      </c>
      <c r="Q14" s="23">
        <v>588.6</v>
      </c>
      <c r="R14" s="23">
        <v>594.90000000000009</v>
      </c>
      <c r="S14" s="23">
        <v>552.40000000000009</v>
      </c>
      <c r="T14" s="23">
        <v>504.09999999999997</v>
      </c>
    </row>
    <row r="15" spans="2:20" x14ac:dyDescent="0.35">
      <c r="B15" s="24" t="s">
        <v>56</v>
      </c>
      <c r="C15" s="25">
        <v>135</v>
      </c>
      <c r="D15" s="26">
        <v>147.19999999999999</v>
      </c>
      <c r="E15" s="26">
        <v>145.69999999999999</v>
      </c>
      <c r="F15" s="26">
        <v>158.80000000000001</v>
      </c>
      <c r="G15" s="26">
        <v>157.19999999999999</v>
      </c>
      <c r="H15" s="26">
        <v>155.6</v>
      </c>
      <c r="I15" s="26">
        <v>138.5</v>
      </c>
      <c r="J15" s="26">
        <v>151</v>
      </c>
      <c r="K15" s="26">
        <v>164.6</v>
      </c>
      <c r="L15" s="26">
        <v>179.4</v>
      </c>
      <c r="M15" s="26">
        <v>195.5</v>
      </c>
      <c r="N15" s="26">
        <v>193.5</v>
      </c>
      <c r="O15" s="26">
        <v>172.2</v>
      </c>
      <c r="P15" s="26">
        <v>153.30000000000001</v>
      </c>
      <c r="Q15" s="26">
        <v>151.80000000000001</v>
      </c>
      <c r="R15" s="26">
        <v>135.1</v>
      </c>
      <c r="S15" s="26">
        <v>120.2</v>
      </c>
      <c r="T15" s="26">
        <v>107</v>
      </c>
    </row>
    <row r="16" spans="2:20" x14ac:dyDescent="0.35">
      <c r="B16" s="27" t="s">
        <v>57</v>
      </c>
      <c r="C16" s="25">
        <v>120</v>
      </c>
      <c r="D16" s="26">
        <v>122.4</v>
      </c>
      <c r="E16" s="26">
        <v>124.8</v>
      </c>
      <c r="F16" s="26">
        <v>133.5</v>
      </c>
      <c r="G16" s="26">
        <v>129.5</v>
      </c>
      <c r="H16" s="26">
        <v>125.6</v>
      </c>
      <c r="I16" s="26">
        <v>134.4</v>
      </c>
      <c r="J16" s="26">
        <v>137.1</v>
      </c>
      <c r="K16" s="26">
        <v>133</v>
      </c>
      <c r="L16" s="26">
        <v>142.30000000000001</v>
      </c>
      <c r="M16" s="26">
        <v>145.1</v>
      </c>
      <c r="N16" s="26">
        <v>155.30000000000001</v>
      </c>
      <c r="O16" s="26">
        <v>158.4</v>
      </c>
      <c r="P16" s="26">
        <v>153.6</v>
      </c>
      <c r="Q16" s="26">
        <v>156.69999999999999</v>
      </c>
      <c r="R16" s="26">
        <v>152</v>
      </c>
      <c r="S16" s="26">
        <v>162.6</v>
      </c>
      <c r="T16" s="26">
        <v>165.9</v>
      </c>
    </row>
    <row r="17" spans="2:20" x14ac:dyDescent="0.35">
      <c r="B17" s="27" t="s">
        <v>58</v>
      </c>
      <c r="C17" s="25">
        <v>54</v>
      </c>
      <c r="D17" s="26">
        <v>54</v>
      </c>
      <c r="E17" s="26">
        <v>43.2</v>
      </c>
      <c r="F17" s="26">
        <v>43.2</v>
      </c>
      <c r="G17" s="26">
        <v>51.8</v>
      </c>
      <c r="H17" s="26">
        <v>41.4</v>
      </c>
      <c r="I17" s="26">
        <v>41.4</v>
      </c>
      <c r="J17" s="26">
        <v>41.4</v>
      </c>
      <c r="K17" s="26">
        <v>41.4</v>
      </c>
      <c r="L17" s="26">
        <v>49.7</v>
      </c>
      <c r="M17" s="26">
        <v>59.6</v>
      </c>
      <c r="N17" s="26">
        <v>59.6</v>
      </c>
      <c r="O17" s="26">
        <v>47.7</v>
      </c>
      <c r="P17" s="26">
        <v>38.200000000000003</v>
      </c>
      <c r="Q17" s="26">
        <v>38.200000000000003</v>
      </c>
      <c r="R17" s="26">
        <v>30.6</v>
      </c>
      <c r="S17" s="26">
        <v>30.6</v>
      </c>
      <c r="T17" s="26">
        <v>24.5</v>
      </c>
    </row>
    <row r="18" spans="2:20" x14ac:dyDescent="0.35">
      <c r="B18" s="27" t="s">
        <v>59</v>
      </c>
      <c r="C18" s="25">
        <v>111</v>
      </c>
      <c r="D18" s="26">
        <v>128.19999999999999</v>
      </c>
      <c r="E18" s="26">
        <v>128.80000000000001</v>
      </c>
      <c r="F18" s="26">
        <v>148.80000000000001</v>
      </c>
      <c r="G18" s="26">
        <v>127.2</v>
      </c>
      <c r="H18" s="26">
        <v>146.9</v>
      </c>
      <c r="I18" s="26">
        <v>147.6</v>
      </c>
      <c r="J18" s="26">
        <v>170.5</v>
      </c>
      <c r="K18" s="26">
        <v>196.9</v>
      </c>
      <c r="L18" s="26">
        <v>197.9</v>
      </c>
      <c r="M18" s="26">
        <v>169.2</v>
      </c>
      <c r="N18" s="26">
        <v>170</v>
      </c>
      <c r="O18" s="26">
        <v>196.4</v>
      </c>
      <c r="P18" s="26">
        <v>226.8</v>
      </c>
      <c r="Q18" s="26">
        <v>227.9</v>
      </c>
      <c r="R18" s="26">
        <v>263.2</v>
      </c>
      <c r="S18" s="26">
        <v>225</v>
      </c>
      <c r="T18" s="26">
        <v>192.4</v>
      </c>
    </row>
    <row r="19" spans="2:20" x14ac:dyDescent="0.35">
      <c r="B19" s="27" t="s">
        <v>60</v>
      </c>
      <c r="C19" s="25">
        <v>12</v>
      </c>
      <c r="D19" s="26">
        <v>12.2</v>
      </c>
      <c r="E19" s="26">
        <v>12.4</v>
      </c>
      <c r="F19" s="26">
        <v>12.4</v>
      </c>
      <c r="G19" s="26">
        <v>12.5</v>
      </c>
      <c r="H19" s="26">
        <v>12.6</v>
      </c>
      <c r="I19" s="26">
        <v>12.9</v>
      </c>
      <c r="J19" s="26">
        <v>13.2</v>
      </c>
      <c r="K19" s="26">
        <v>13.3</v>
      </c>
      <c r="L19" s="26">
        <v>13.6</v>
      </c>
      <c r="M19" s="26">
        <v>13.6</v>
      </c>
      <c r="N19" s="26">
        <v>13.7</v>
      </c>
      <c r="O19" s="26">
        <v>13.8</v>
      </c>
      <c r="P19" s="26">
        <v>13.9</v>
      </c>
      <c r="Q19" s="26">
        <v>14</v>
      </c>
      <c r="R19" s="26">
        <v>14</v>
      </c>
      <c r="S19" s="26">
        <v>14</v>
      </c>
      <c r="T19" s="26">
        <v>14.3</v>
      </c>
    </row>
    <row r="20" spans="2:20" x14ac:dyDescent="0.35">
      <c r="B20" s="20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</row>
    <row r="21" spans="2:20" x14ac:dyDescent="0.35">
      <c r="B21" s="22" t="s">
        <v>61</v>
      </c>
      <c r="C21" s="23">
        <v>36</v>
      </c>
      <c r="D21" s="23">
        <v>34.9</v>
      </c>
      <c r="E21" s="23">
        <v>34.400000000000006</v>
      </c>
      <c r="F21" s="23">
        <v>35.200000000000003</v>
      </c>
      <c r="G21" s="23">
        <v>36.1</v>
      </c>
      <c r="H21" s="23">
        <v>36.299999999999997</v>
      </c>
      <c r="I21" s="23">
        <v>35.9</v>
      </c>
      <c r="J21" s="23">
        <v>36.1</v>
      </c>
      <c r="K21" s="23">
        <v>37.1</v>
      </c>
      <c r="L21" s="23">
        <v>36.6</v>
      </c>
      <c r="M21" s="23">
        <v>35.5</v>
      </c>
      <c r="N21" s="23">
        <v>35.9</v>
      </c>
      <c r="O21" s="23">
        <v>34.799999999999997</v>
      </c>
      <c r="P21" s="23">
        <v>35.099999999999994</v>
      </c>
      <c r="Q21" s="23">
        <v>35.200000000000003</v>
      </c>
      <c r="R21" s="23">
        <v>34.200000000000003</v>
      </c>
      <c r="S21" s="23">
        <v>33.200000000000003</v>
      </c>
      <c r="T21" s="23">
        <v>32.9</v>
      </c>
    </row>
    <row r="22" spans="2:20" x14ac:dyDescent="0.35">
      <c r="B22" s="27" t="s">
        <v>62</v>
      </c>
      <c r="C22" s="25">
        <v>24</v>
      </c>
      <c r="D22" s="26">
        <v>23.3</v>
      </c>
      <c r="E22" s="26">
        <v>22.6</v>
      </c>
      <c r="F22" s="26">
        <v>22.6</v>
      </c>
      <c r="G22" s="26">
        <v>22.6</v>
      </c>
      <c r="H22" s="26">
        <v>21.9</v>
      </c>
      <c r="I22" s="26">
        <v>21.2</v>
      </c>
      <c r="J22" s="26">
        <v>21.8</v>
      </c>
      <c r="K22" s="26">
        <v>21.8</v>
      </c>
      <c r="L22" s="26">
        <v>21.8</v>
      </c>
      <c r="M22" s="26">
        <v>21.1</v>
      </c>
      <c r="N22" s="26">
        <v>20.5</v>
      </c>
      <c r="O22" s="26">
        <v>19.899999999999999</v>
      </c>
      <c r="P22" s="26">
        <v>19.899999999999999</v>
      </c>
      <c r="Q22" s="26">
        <v>20.5</v>
      </c>
      <c r="R22" s="26">
        <v>19.899999999999999</v>
      </c>
      <c r="S22" s="26">
        <v>19.3</v>
      </c>
      <c r="T22" s="26">
        <v>18.7</v>
      </c>
    </row>
    <row r="23" spans="2:20" x14ac:dyDescent="0.35">
      <c r="B23" s="27" t="s">
        <v>63</v>
      </c>
      <c r="C23" s="25">
        <v>12</v>
      </c>
      <c r="D23" s="26">
        <v>11.6</v>
      </c>
      <c r="E23" s="26">
        <v>11.8</v>
      </c>
      <c r="F23" s="26">
        <v>12.6</v>
      </c>
      <c r="G23" s="26">
        <v>13.5</v>
      </c>
      <c r="H23" s="26">
        <v>14.4</v>
      </c>
      <c r="I23" s="26">
        <v>14.7</v>
      </c>
      <c r="J23" s="26">
        <v>14.3</v>
      </c>
      <c r="K23" s="26">
        <v>15.3</v>
      </c>
      <c r="L23" s="26">
        <v>14.8</v>
      </c>
      <c r="M23" s="26">
        <v>14.4</v>
      </c>
      <c r="N23" s="26">
        <v>15.4</v>
      </c>
      <c r="O23" s="26">
        <v>14.9</v>
      </c>
      <c r="P23" s="26">
        <v>15.2</v>
      </c>
      <c r="Q23" s="26">
        <v>14.7</v>
      </c>
      <c r="R23" s="26">
        <v>14.3</v>
      </c>
      <c r="S23" s="26">
        <v>13.9</v>
      </c>
      <c r="T23" s="26">
        <v>14.2</v>
      </c>
    </row>
    <row r="24" spans="2:20" x14ac:dyDescent="0.35">
      <c r="B24" s="20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</row>
    <row r="25" spans="2:20" x14ac:dyDescent="0.35">
      <c r="B25" s="22" t="s">
        <v>64</v>
      </c>
      <c r="C25" s="23">
        <v>340.32</v>
      </c>
      <c r="D25" s="23">
        <v>364.154</v>
      </c>
      <c r="E25" s="23">
        <v>373.44299999999998</v>
      </c>
      <c r="F25" s="23">
        <v>428.39200000000005</v>
      </c>
      <c r="G25" s="23">
        <v>371.3359999999999</v>
      </c>
      <c r="H25" s="23">
        <v>373.47299999999996</v>
      </c>
      <c r="I25" s="23">
        <v>369.27199999999993</v>
      </c>
      <c r="J25" s="23">
        <v>440.5320000000001</v>
      </c>
      <c r="K25" s="23">
        <v>446.73199999999997</v>
      </c>
      <c r="L25" s="23">
        <v>495.60000000000008</v>
      </c>
      <c r="M25" s="23">
        <v>473.78000000000003</v>
      </c>
      <c r="N25" s="23">
        <v>454.38400000000001</v>
      </c>
      <c r="O25" s="23">
        <v>450.37399999999997</v>
      </c>
      <c r="P25" s="23">
        <v>445.59099999999989</v>
      </c>
      <c r="Q25" s="23">
        <v>502.56</v>
      </c>
      <c r="R25" s="23">
        <v>476.86300000000006</v>
      </c>
      <c r="S25" s="23">
        <v>419.6400000000001</v>
      </c>
      <c r="T25" s="23">
        <v>406.04900000000004</v>
      </c>
    </row>
    <row r="26" spans="2:20" x14ac:dyDescent="0.35">
      <c r="B26" s="27" t="s">
        <v>65</v>
      </c>
      <c r="C26" s="26">
        <v>42.120000000000005</v>
      </c>
      <c r="D26" s="26">
        <v>44.28</v>
      </c>
      <c r="E26" s="26">
        <v>34.56</v>
      </c>
      <c r="F26" s="26">
        <v>35.424000000000007</v>
      </c>
      <c r="G26" s="26">
        <v>42.475999999999999</v>
      </c>
      <c r="H26" s="26">
        <v>33.119999999999997</v>
      </c>
      <c r="I26" s="26">
        <v>32.292000000000002</v>
      </c>
      <c r="J26" s="26">
        <v>33.948</v>
      </c>
      <c r="K26" s="26">
        <v>33.948</v>
      </c>
      <c r="L26" s="26">
        <v>39.760000000000005</v>
      </c>
      <c r="M26" s="26">
        <v>48.872000000000007</v>
      </c>
      <c r="N26" s="26">
        <v>47.680000000000007</v>
      </c>
      <c r="O26" s="26">
        <v>39.114000000000004</v>
      </c>
      <c r="P26" s="26">
        <v>31.324000000000005</v>
      </c>
      <c r="Q26" s="26">
        <v>30.560000000000002</v>
      </c>
      <c r="R26" s="26">
        <v>23.868000000000002</v>
      </c>
      <c r="S26" s="26">
        <v>24.480000000000004</v>
      </c>
      <c r="T26" s="26">
        <v>19.600000000000001</v>
      </c>
    </row>
    <row r="27" spans="2:20" x14ac:dyDescent="0.35">
      <c r="B27" s="27" t="s">
        <v>66</v>
      </c>
      <c r="C27" s="26">
        <v>9.6000000000000014</v>
      </c>
      <c r="D27" s="26">
        <v>10.004</v>
      </c>
      <c r="E27" s="26">
        <v>10.168000000000001</v>
      </c>
      <c r="F27" s="26">
        <v>10.168000000000001</v>
      </c>
      <c r="G27" s="26">
        <v>10.25</v>
      </c>
      <c r="H27" s="26">
        <v>9.8279999999999994</v>
      </c>
      <c r="I27" s="26">
        <v>10.32</v>
      </c>
      <c r="J27" s="26">
        <v>10.824</v>
      </c>
      <c r="K27" s="26">
        <v>10.374000000000001</v>
      </c>
      <c r="L27" s="26">
        <v>10.88</v>
      </c>
      <c r="M27" s="26">
        <v>10.608000000000001</v>
      </c>
      <c r="N27" s="26">
        <v>11.234</v>
      </c>
      <c r="O27" s="26">
        <v>11.040000000000001</v>
      </c>
      <c r="P27" s="26">
        <v>10.842000000000001</v>
      </c>
      <c r="Q27" s="26">
        <v>11.200000000000001</v>
      </c>
      <c r="R27" s="26">
        <v>11.200000000000001</v>
      </c>
      <c r="S27" s="26">
        <v>11.48</v>
      </c>
      <c r="T27" s="26">
        <v>11.154000000000002</v>
      </c>
    </row>
    <row r="28" spans="2:20" x14ac:dyDescent="0.35">
      <c r="B28" s="27" t="s">
        <v>67</v>
      </c>
      <c r="C28" s="26">
        <v>32.4</v>
      </c>
      <c r="D28" s="26">
        <v>31.41</v>
      </c>
      <c r="E28" s="26">
        <v>29.240000000000006</v>
      </c>
      <c r="F28" s="26">
        <v>29.92</v>
      </c>
      <c r="G28" s="26">
        <v>28.88</v>
      </c>
      <c r="H28" s="26">
        <v>30.854999999999997</v>
      </c>
      <c r="I28" s="26">
        <v>32.31</v>
      </c>
      <c r="J28" s="26">
        <v>28.88</v>
      </c>
      <c r="K28" s="26">
        <v>31.535</v>
      </c>
      <c r="L28" s="26">
        <v>29.279999999999998</v>
      </c>
      <c r="M28" s="26">
        <v>31.95</v>
      </c>
      <c r="N28" s="26">
        <v>32.31</v>
      </c>
      <c r="O28" s="26">
        <v>31.319999999999997</v>
      </c>
      <c r="P28" s="26">
        <v>29.834999999999994</v>
      </c>
      <c r="Q28" s="26">
        <v>31.680000000000003</v>
      </c>
      <c r="R28" s="26">
        <v>29.07</v>
      </c>
      <c r="S28" s="26">
        <v>28.220000000000002</v>
      </c>
      <c r="T28" s="26">
        <v>26.319999999999997</v>
      </c>
    </row>
    <row r="29" spans="2:20" x14ac:dyDescent="0.35">
      <c r="B29" s="27" t="s">
        <v>68</v>
      </c>
      <c r="C29" s="26">
        <v>256.2</v>
      </c>
      <c r="D29" s="26">
        <v>278.45999999999998</v>
      </c>
      <c r="E29" s="26">
        <v>299.47499999999997</v>
      </c>
      <c r="F29" s="26">
        <v>352.88000000000005</v>
      </c>
      <c r="G29" s="26">
        <v>289.7299999999999</v>
      </c>
      <c r="H29" s="26">
        <v>299.66999999999996</v>
      </c>
      <c r="I29" s="26">
        <v>294.34999999999997</v>
      </c>
      <c r="J29" s="26">
        <v>366.88000000000011</v>
      </c>
      <c r="K29" s="26">
        <v>370.875</v>
      </c>
      <c r="L29" s="26">
        <v>415.68000000000006</v>
      </c>
      <c r="M29" s="26">
        <v>382.35</v>
      </c>
      <c r="N29" s="26">
        <v>363.16</v>
      </c>
      <c r="O29" s="26">
        <v>368.9</v>
      </c>
      <c r="P29" s="26">
        <v>373.58999999999992</v>
      </c>
      <c r="Q29" s="26">
        <v>429.12</v>
      </c>
      <c r="R29" s="26">
        <v>412.72500000000002</v>
      </c>
      <c r="S29" s="26">
        <v>355.46000000000009</v>
      </c>
      <c r="T29" s="26">
        <v>348.97500000000002</v>
      </c>
    </row>
    <row r="30" spans="2:20" x14ac:dyDescent="0.35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</row>
    <row r="31" spans="2:20" x14ac:dyDescent="0.35">
      <c r="B31" s="22" t="s">
        <v>69</v>
      </c>
      <c r="C31" s="28">
        <v>90</v>
      </c>
      <c r="D31" s="28">
        <v>91.100000000000009</v>
      </c>
      <c r="E31" s="28">
        <v>96.7</v>
      </c>
      <c r="F31" s="28">
        <v>96.6</v>
      </c>
      <c r="G31" s="28">
        <v>92.100000000000009</v>
      </c>
      <c r="H31" s="28">
        <v>93.5</v>
      </c>
      <c r="I31" s="28">
        <v>100.30000000000001</v>
      </c>
      <c r="J31" s="28">
        <v>103</v>
      </c>
      <c r="K31" s="28">
        <v>101.5</v>
      </c>
      <c r="L31" s="28">
        <v>102.7</v>
      </c>
      <c r="M31" s="28">
        <v>104.2</v>
      </c>
      <c r="N31" s="28">
        <v>98.1</v>
      </c>
      <c r="O31" s="28">
        <v>99.4</v>
      </c>
      <c r="P31" s="28">
        <v>95.800000000000011</v>
      </c>
      <c r="Q31" s="28">
        <v>89.9</v>
      </c>
      <c r="R31" s="28">
        <v>95.100000000000009</v>
      </c>
      <c r="S31" s="28">
        <v>97.8</v>
      </c>
      <c r="T31" s="28">
        <v>104.70000000000002</v>
      </c>
    </row>
    <row r="32" spans="2:20" x14ac:dyDescent="0.35">
      <c r="B32" s="27" t="s">
        <v>70</v>
      </c>
      <c r="C32" s="29">
        <v>20</v>
      </c>
      <c r="D32" s="26">
        <v>17.8</v>
      </c>
      <c r="E32" s="26">
        <v>15.8</v>
      </c>
      <c r="F32" s="26">
        <v>14.1</v>
      </c>
      <c r="G32" s="26">
        <v>14</v>
      </c>
      <c r="H32" s="26">
        <v>13.9</v>
      </c>
      <c r="I32" s="26">
        <v>13.8</v>
      </c>
      <c r="J32" s="26">
        <v>13.7</v>
      </c>
      <c r="K32" s="26">
        <v>14.9</v>
      </c>
      <c r="L32" s="26">
        <v>13.3</v>
      </c>
      <c r="M32" s="26">
        <v>11.8</v>
      </c>
      <c r="N32" s="26">
        <v>10.5</v>
      </c>
      <c r="O32" s="26">
        <v>11.4</v>
      </c>
      <c r="P32" s="26">
        <v>12.4</v>
      </c>
      <c r="Q32" s="26">
        <v>12.3</v>
      </c>
      <c r="R32" s="26">
        <v>10.9</v>
      </c>
      <c r="S32" s="26">
        <v>10.8</v>
      </c>
      <c r="T32" s="26">
        <v>10.7</v>
      </c>
    </row>
    <row r="33" spans="2:20" x14ac:dyDescent="0.35">
      <c r="B33" s="27" t="s">
        <v>71</v>
      </c>
      <c r="C33" s="29">
        <v>50</v>
      </c>
      <c r="D33" s="26">
        <v>51.5</v>
      </c>
      <c r="E33" s="26">
        <v>58.2</v>
      </c>
      <c r="F33" s="26">
        <v>59.9</v>
      </c>
      <c r="G33" s="26">
        <v>55.7</v>
      </c>
      <c r="H33" s="26">
        <v>57.4</v>
      </c>
      <c r="I33" s="26">
        <v>64.900000000000006</v>
      </c>
      <c r="J33" s="26">
        <v>66.8</v>
      </c>
      <c r="K33" s="26">
        <v>62.1</v>
      </c>
      <c r="L33" s="26">
        <v>64</v>
      </c>
      <c r="M33" s="26">
        <v>65.900000000000006</v>
      </c>
      <c r="N33" s="26">
        <v>61.3</v>
      </c>
      <c r="O33" s="26">
        <v>63.1</v>
      </c>
      <c r="P33" s="26">
        <v>58.7</v>
      </c>
      <c r="Q33" s="26">
        <v>54.6</v>
      </c>
      <c r="R33" s="26">
        <v>61.7</v>
      </c>
      <c r="S33" s="26">
        <v>63.6</v>
      </c>
      <c r="T33" s="26">
        <v>71.900000000000006</v>
      </c>
    </row>
    <row r="34" spans="2:20" x14ac:dyDescent="0.35">
      <c r="B34" s="27" t="s">
        <v>72</v>
      </c>
      <c r="C34" s="29">
        <v>10</v>
      </c>
      <c r="D34" s="26">
        <v>10.9</v>
      </c>
      <c r="E34" s="26">
        <v>10.8</v>
      </c>
      <c r="F34" s="26">
        <v>9.6</v>
      </c>
      <c r="G34" s="26">
        <v>9.5</v>
      </c>
      <c r="H34" s="26">
        <v>9.4</v>
      </c>
      <c r="I34" s="26">
        <v>10.199999999999999</v>
      </c>
      <c r="J34" s="26">
        <v>10.1</v>
      </c>
      <c r="K34" s="26">
        <v>11</v>
      </c>
      <c r="L34" s="26">
        <v>12</v>
      </c>
      <c r="M34" s="26">
        <v>11.9</v>
      </c>
      <c r="N34" s="26">
        <v>11.8</v>
      </c>
      <c r="O34" s="26">
        <v>10.5</v>
      </c>
      <c r="P34" s="26">
        <v>10.4</v>
      </c>
      <c r="Q34" s="26">
        <v>10.3</v>
      </c>
      <c r="R34" s="26">
        <v>11.2</v>
      </c>
      <c r="S34" s="26">
        <v>11.1</v>
      </c>
      <c r="T34" s="26">
        <v>9.9</v>
      </c>
    </row>
    <row r="35" spans="2:20" x14ac:dyDescent="0.35">
      <c r="B35" s="27" t="s">
        <v>73</v>
      </c>
      <c r="C35" s="29">
        <v>10</v>
      </c>
      <c r="D35" s="26">
        <v>10.9</v>
      </c>
      <c r="E35" s="26">
        <v>11.9</v>
      </c>
      <c r="F35" s="26">
        <v>13</v>
      </c>
      <c r="G35" s="26">
        <v>12.9</v>
      </c>
      <c r="H35" s="26">
        <v>12.8</v>
      </c>
      <c r="I35" s="26">
        <v>11.4</v>
      </c>
      <c r="J35" s="26">
        <v>12.4</v>
      </c>
      <c r="K35" s="26">
        <v>13.5</v>
      </c>
      <c r="L35" s="26">
        <v>13.4</v>
      </c>
      <c r="M35" s="26">
        <v>14.6</v>
      </c>
      <c r="N35" s="26">
        <v>14.5</v>
      </c>
      <c r="O35" s="26">
        <v>14.4</v>
      </c>
      <c r="P35" s="26">
        <v>14.3</v>
      </c>
      <c r="Q35" s="26">
        <v>12.7</v>
      </c>
      <c r="R35" s="26">
        <v>11.3</v>
      </c>
      <c r="S35" s="26">
        <v>12.3</v>
      </c>
      <c r="T35" s="26">
        <v>12.2</v>
      </c>
    </row>
    <row r="36" spans="2:20" x14ac:dyDescent="0.35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</row>
    <row r="37" spans="2:20" x14ac:dyDescent="0.35">
      <c r="B37" s="22" t="s">
        <v>74</v>
      </c>
      <c r="C37" s="30">
        <v>430.32</v>
      </c>
      <c r="D37" s="30">
        <v>455.25400000000002</v>
      </c>
      <c r="E37" s="30">
        <v>470.14299999999997</v>
      </c>
      <c r="F37" s="30">
        <v>524.99200000000008</v>
      </c>
      <c r="G37" s="30">
        <v>463.43599999999992</v>
      </c>
      <c r="H37" s="30">
        <v>466.97299999999996</v>
      </c>
      <c r="I37" s="30">
        <v>469.57199999999995</v>
      </c>
      <c r="J37" s="30">
        <v>543.53200000000015</v>
      </c>
      <c r="K37" s="30">
        <v>548.23199999999997</v>
      </c>
      <c r="L37" s="30">
        <v>598.30000000000007</v>
      </c>
      <c r="M37" s="30">
        <v>577.98</v>
      </c>
      <c r="N37" s="30">
        <v>552.48400000000004</v>
      </c>
      <c r="O37" s="30">
        <v>549.774</v>
      </c>
      <c r="P37" s="30">
        <v>541.39099999999985</v>
      </c>
      <c r="Q37" s="30">
        <v>592.46</v>
      </c>
      <c r="R37" s="30">
        <v>571.96300000000008</v>
      </c>
      <c r="S37" s="30">
        <v>517.44000000000005</v>
      </c>
      <c r="T37" s="30">
        <v>510.74900000000002</v>
      </c>
    </row>
    <row r="38" spans="2:20" x14ac:dyDescent="0.35">
      <c r="B38" s="22" t="s">
        <v>29</v>
      </c>
      <c r="C38" s="30">
        <v>37.680000000000007</v>
      </c>
      <c r="D38" s="30">
        <v>43.645999999999958</v>
      </c>
      <c r="E38" s="30">
        <v>19.156999999999982</v>
      </c>
      <c r="F38" s="30">
        <v>6.9079999999999018</v>
      </c>
      <c r="G38" s="30">
        <v>50.864000000000033</v>
      </c>
      <c r="H38" s="30">
        <v>51.427000000000021</v>
      </c>
      <c r="I38" s="30">
        <v>41.127999999999986</v>
      </c>
      <c r="J38" s="30">
        <v>5.7679999999999154</v>
      </c>
      <c r="K38" s="30">
        <v>38.067999999999984</v>
      </c>
      <c r="L38" s="30">
        <v>21.200000000000045</v>
      </c>
      <c r="M38" s="30">
        <v>40.520000000000095</v>
      </c>
      <c r="N38" s="30">
        <v>75.516000000000076</v>
      </c>
      <c r="O38" s="30">
        <v>73.525999999999954</v>
      </c>
      <c r="P38" s="30">
        <v>79.509000000000128</v>
      </c>
      <c r="Q38" s="30">
        <v>31.340000000000032</v>
      </c>
      <c r="R38" s="30">
        <v>57.137000000000057</v>
      </c>
      <c r="S38" s="30">
        <v>68.160000000000082</v>
      </c>
      <c r="T38" s="30">
        <v>26.250999999999976</v>
      </c>
    </row>
    <row r="39" spans="2:20" x14ac:dyDescent="0.35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</row>
    <row r="40" spans="2:20" x14ac:dyDescent="0.35">
      <c r="B40" s="20" t="s">
        <v>75</v>
      </c>
      <c r="C40" s="29">
        <v>5</v>
      </c>
      <c r="D40" s="26">
        <v>5.2</v>
      </c>
      <c r="E40" s="26">
        <v>5.4</v>
      </c>
      <c r="F40" s="26">
        <v>5.6</v>
      </c>
      <c r="G40" s="26">
        <v>5.5</v>
      </c>
      <c r="H40" s="26">
        <v>5.6</v>
      </c>
      <c r="I40" s="26">
        <v>5.5</v>
      </c>
      <c r="J40" s="26">
        <v>5.6</v>
      </c>
      <c r="K40" s="26">
        <v>5.7</v>
      </c>
      <c r="L40" s="26">
        <v>5.8</v>
      </c>
      <c r="M40" s="26">
        <v>5.9</v>
      </c>
      <c r="N40" s="26">
        <v>6.1</v>
      </c>
      <c r="O40" s="26">
        <v>6.3</v>
      </c>
      <c r="P40" s="26">
        <v>6.5</v>
      </c>
      <c r="Q40" s="26">
        <v>6.4</v>
      </c>
      <c r="R40" s="26">
        <v>6.6</v>
      </c>
      <c r="S40" s="26">
        <v>6.8</v>
      </c>
      <c r="T40" s="26">
        <v>7</v>
      </c>
    </row>
    <row r="41" spans="2:20" x14ac:dyDescent="0.35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</row>
    <row r="42" spans="2:20" x14ac:dyDescent="0.35">
      <c r="B42" s="22" t="s">
        <v>76</v>
      </c>
      <c r="C42" s="30">
        <v>32.680000000000007</v>
      </c>
      <c r="D42" s="30">
        <v>38.445999999999955</v>
      </c>
      <c r="E42" s="30">
        <v>13.756999999999982</v>
      </c>
      <c r="F42" s="30">
        <v>1.3079999999999021</v>
      </c>
      <c r="G42" s="30">
        <v>45.364000000000033</v>
      </c>
      <c r="H42" s="30">
        <v>45.827000000000019</v>
      </c>
      <c r="I42" s="30">
        <v>35.627999999999986</v>
      </c>
      <c r="J42" s="30">
        <v>0.16799999999991577</v>
      </c>
      <c r="K42" s="30">
        <v>32.367999999999981</v>
      </c>
      <c r="L42" s="30">
        <v>15.400000000000045</v>
      </c>
      <c r="M42" s="30">
        <v>34.620000000000097</v>
      </c>
      <c r="N42" s="30">
        <v>69.416000000000082</v>
      </c>
      <c r="O42" s="30">
        <v>67.225999999999956</v>
      </c>
      <c r="P42" s="30">
        <v>73.009000000000128</v>
      </c>
      <c r="Q42" s="30">
        <v>24.940000000000033</v>
      </c>
      <c r="R42" s="30">
        <v>50.537000000000056</v>
      </c>
      <c r="S42" s="30">
        <v>61.360000000000085</v>
      </c>
      <c r="T42" s="30">
        <v>19.250999999999976</v>
      </c>
    </row>
  </sheetData>
  <mergeCells count="1">
    <mergeCell ref="B2:P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287B9-6552-459F-9B0A-DC8853774CA9}">
  <sheetPr>
    <tabColor rgb="FFCCFFCC"/>
  </sheetPr>
  <dimension ref="B1:O42"/>
  <sheetViews>
    <sheetView zoomScale="70" zoomScaleNormal="70" workbookViewId="0">
      <selection activeCell="M38" sqref="M38"/>
    </sheetView>
  </sheetViews>
  <sheetFormatPr defaultRowHeight="14.5" x14ac:dyDescent="0.35"/>
  <cols>
    <col min="2" max="2" width="47.54296875" customWidth="1"/>
    <col min="11" max="12" width="9.7265625" bestFit="1" customWidth="1"/>
    <col min="14" max="14" width="9.6328125" bestFit="1" customWidth="1"/>
  </cols>
  <sheetData>
    <row r="1" spans="2:15" ht="15" thickBot="1" x14ac:dyDescent="0.4"/>
    <row r="2" spans="2:15" ht="15" thickTop="1" x14ac:dyDescent="0.35">
      <c r="B2" s="50" t="s">
        <v>77</v>
      </c>
      <c r="C2" s="51"/>
      <c r="D2" s="51"/>
      <c r="E2" s="51"/>
    </row>
    <row r="3" spans="2:15" x14ac:dyDescent="0.35">
      <c r="B3" s="53"/>
      <c r="C3" s="54"/>
      <c r="D3" s="54"/>
      <c r="E3" s="54"/>
    </row>
    <row r="4" spans="2:15" x14ac:dyDescent="0.35">
      <c r="B4" s="53"/>
      <c r="C4" s="54"/>
      <c r="D4" s="54"/>
      <c r="E4" s="54"/>
    </row>
    <row r="5" spans="2:15" x14ac:dyDescent="0.35">
      <c r="B5" s="53"/>
      <c r="C5" s="54"/>
      <c r="D5" s="54"/>
      <c r="E5" s="54"/>
    </row>
    <row r="6" spans="2:15" ht="15" thickBot="1" x14ac:dyDescent="0.4">
      <c r="B6" s="56"/>
      <c r="C6" s="57"/>
      <c r="D6" s="57"/>
      <c r="E6" s="57"/>
    </row>
    <row r="7" spans="2:15" ht="15" thickTop="1" x14ac:dyDescent="0.35"/>
    <row r="10" spans="2:15" x14ac:dyDescent="0.35">
      <c r="B10" s="19" t="s">
        <v>53</v>
      </c>
      <c r="C10" s="20"/>
      <c r="D10" s="20"/>
      <c r="E10" s="20"/>
      <c r="F10" s="20"/>
      <c r="G10" s="20"/>
      <c r="H10" s="20"/>
    </row>
    <row r="11" spans="2:15" x14ac:dyDescent="0.35">
      <c r="B11" s="20"/>
      <c r="C11" s="20"/>
      <c r="D11" s="20"/>
      <c r="E11" s="20"/>
      <c r="F11" s="20"/>
      <c r="G11" s="20"/>
      <c r="H11" s="20"/>
    </row>
    <row r="12" spans="2:15" x14ac:dyDescent="0.35">
      <c r="B12" s="20"/>
      <c r="C12" s="21">
        <v>42826</v>
      </c>
      <c r="D12" s="21">
        <v>42856</v>
      </c>
      <c r="E12" s="21">
        <v>42887</v>
      </c>
      <c r="F12" s="21">
        <v>43191</v>
      </c>
      <c r="G12" s="21">
        <v>43221</v>
      </c>
      <c r="H12" s="21">
        <v>43252</v>
      </c>
      <c r="K12" t="s">
        <v>79</v>
      </c>
      <c r="L12" t="s">
        <v>80</v>
      </c>
      <c r="M12" t="s">
        <v>81</v>
      </c>
      <c r="N12" t="s">
        <v>82</v>
      </c>
      <c r="O12" t="s">
        <v>83</v>
      </c>
    </row>
    <row r="13" spans="2:15" x14ac:dyDescent="0.35">
      <c r="B13" s="22" t="s">
        <v>54</v>
      </c>
      <c r="C13" s="23">
        <v>531.9</v>
      </c>
      <c r="D13" s="23">
        <v>514.29999999999995</v>
      </c>
      <c r="E13" s="23">
        <v>518.4</v>
      </c>
      <c r="F13" s="23">
        <v>629.10000000000014</v>
      </c>
      <c r="G13" s="23">
        <v>585.60000000000014</v>
      </c>
      <c r="H13" s="23">
        <v>537</v>
      </c>
      <c r="K13" s="31">
        <f xml:space="preserve"> C13 + D13 + E13</f>
        <v>1564.6</v>
      </c>
      <c r="L13" s="31">
        <f xml:space="preserve">  F13 + G13 + H13</f>
        <v>1751.7000000000003</v>
      </c>
      <c r="M13">
        <f>IF((L13-K13)&gt;0,L13 - K13,0)</f>
        <v>187.10000000000036</v>
      </c>
      <c r="N13">
        <f>IF(M13=0,K13 - L13,0)</f>
        <v>0</v>
      </c>
    </row>
    <row r="14" spans="2:15" x14ac:dyDescent="0.35">
      <c r="B14" s="22" t="s">
        <v>55</v>
      </c>
      <c r="C14" s="23">
        <v>496.7</v>
      </c>
      <c r="D14" s="23">
        <v>478.2</v>
      </c>
      <c r="E14" s="23">
        <v>482.1</v>
      </c>
      <c r="F14" s="23">
        <v>594.90000000000009</v>
      </c>
      <c r="G14" s="23">
        <v>552.40000000000009</v>
      </c>
      <c r="H14" s="23">
        <v>504.09999999999997</v>
      </c>
      <c r="K14" s="31">
        <f t="shared" ref="K14:K42" si="0" xml:space="preserve"> C14 + D14 + E14</f>
        <v>1457</v>
      </c>
      <c r="L14" s="31">
        <f t="shared" ref="L14:L42" si="1" xml:space="preserve">  F14 + G14 + H14</f>
        <v>1651.4</v>
      </c>
      <c r="M14">
        <f t="shared" ref="M14:M42" si="2">IF((L14-K14)&gt;0,L14 - K14,0)</f>
        <v>194.40000000000009</v>
      </c>
      <c r="N14">
        <f t="shared" ref="N14:N42" si="3">IF(M14=0,K14 - L14,0)</f>
        <v>0</v>
      </c>
    </row>
    <row r="15" spans="2:15" x14ac:dyDescent="0.35">
      <c r="B15" s="24" t="s">
        <v>56</v>
      </c>
      <c r="C15" s="26">
        <v>158.80000000000001</v>
      </c>
      <c r="D15" s="26">
        <v>157.19999999999999</v>
      </c>
      <c r="E15" s="26">
        <v>155.6</v>
      </c>
      <c r="F15" s="26">
        <v>135.1</v>
      </c>
      <c r="G15" s="26">
        <v>120.2</v>
      </c>
      <c r="H15" s="26">
        <v>107</v>
      </c>
      <c r="K15" s="31">
        <f t="shared" si="0"/>
        <v>471.6</v>
      </c>
      <c r="L15" s="31">
        <f t="shared" si="1"/>
        <v>362.3</v>
      </c>
      <c r="M15">
        <f t="shared" si="2"/>
        <v>0</v>
      </c>
      <c r="N15">
        <f t="shared" si="3"/>
        <v>109.30000000000001</v>
      </c>
    </row>
    <row r="16" spans="2:15" x14ac:dyDescent="0.35">
      <c r="B16" s="27" t="s">
        <v>57</v>
      </c>
      <c r="C16" s="26">
        <v>133.5</v>
      </c>
      <c r="D16" s="26">
        <v>129.5</v>
      </c>
      <c r="E16" s="26">
        <v>125.6</v>
      </c>
      <c r="F16" s="26">
        <v>152</v>
      </c>
      <c r="G16" s="26">
        <v>162.6</v>
      </c>
      <c r="H16" s="26">
        <v>165.9</v>
      </c>
      <c r="K16" s="31">
        <f t="shared" si="0"/>
        <v>388.6</v>
      </c>
      <c r="L16" s="31">
        <f t="shared" si="1"/>
        <v>480.5</v>
      </c>
      <c r="M16">
        <f t="shared" si="2"/>
        <v>91.899999999999977</v>
      </c>
      <c r="N16">
        <f t="shared" si="3"/>
        <v>0</v>
      </c>
    </row>
    <row r="17" spans="2:14" x14ac:dyDescent="0.35">
      <c r="B17" s="27" t="s">
        <v>58</v>
      </c>
      <c r="C17" s="26">
        <v>43.2</v>
      </c>
      <c r="D17" s="26">
        <v>51.8</v>
      </c>
      <c r="E17" s="26">
        <v>41.4</v>
      </c>
      <c r="F17" s="26">
        <v>30.6</v>
      </c>
      <c r="G17" s="26">
        <v>30.6</v>
      </c>
      <c r="H17" s="26">
        <v>24.5</v>
      </c>
      <c r="K17" s="31">
        <f t="shared" si="0"/>
        <v>136.4</v>
      </c>
      <c r="L17" s="31">
        <f t="shared" si="1"/>
        <v>85.7</v>
      </c>
      <c r="M17">
        <f t="shared" si="2"/>
        <v>0</v>
      </c>
      <c r="N17">
        <f t="shared" si="3"/>
        <v>50.7</v>
      </c>
    </row>
    <row r="18" spans="2:14" x14ac:dyDescent="0.35">
      <c r="B18" s="27" t="s">
        <v>59</v>
      </c>
      <c r="C18" s="26">
        <v>148.80000000000001</v>
      </c>
      <c r="D18" s="26">
        <v>127.2</v>
      </c>
      <c r="E18" s="26">
        <v>146.9</v>
      </c>
      <c r="F18" s="26">
        <v>263.2</v>
      </c>
      <c r="G18" s="26">
        <v>225</v>
      </c>
      <c r="H18" s="26">
        <v>192.4</v>
      </c>
      <c r="K18" s="31">
        <f t="shared" si="0"/>
        <v>422.9</v>
      </c>
      <c r="L18" s="31">
        <f t="shared" si="1"/>
        <v>680.6</v>
      </c>
      <c r="M18">
        <f t="shared" si="2"/>
        <v>257.70000000000005</v>
      </c>
      <c r="N18">
        <f t="shared" si="3"/>
        <v>0</v>
      </c>
    </row>
    <row r="19" spans="2:14" x14ac:dyDescent="0.35">
      <c r="B19" s="27" t="s">
        <v>60</v>
      </c>
      <c r="C19" s="26">
        <v>12.4</v>
      </c>
      <c r="D19" s="26">
        <v>12.5</v>
      </c>
      <c r="E19" s="26">
        <v>12.6</v>
      </c>
      <c r="F19" s="26">
        <v>14</v>
      </c>
      <c r="G19" s="26">
        <v>14</v>
      </c>
      <c r="H19" s="26">
        <v>14.3</v>
      </c>
      <c r="K19" s="31">
        <f t="shared" si="0"/>
        <v>37.5</v>
      </c>
      <c r="L19" s="31">
        <f t="shared" si="1"/>
        <v>42.3</v>
      </c>
      <c r="M19">
        <f t="shared" si="2"/>
        <v>4.7999999999999972</v>
      </c>
      <c r="N19">
        <f t="shared" si="3"/>
        <v>0</v>
      </c>
    </row>
    <row r="20" spans="2:14" x14ac:dyDescent="0.35">
      <c r="B20" s="20"/>
      <c r="C20" s="26"/>
      <c r="D20" s="26"/>
      <c r="E20" s="26"/>
      <c r="F20" s="26"/>
      <c r="G20" s="26"/>
      <c r="H20" s="26"/>
      <c r="K20" s="31">
        <f t="shared" si="0"/>
        <v>0</v>
      </c>
      <c r="L20" s="31">
        <f t="shared" si="1"/>
        <v>0</v>
      </c>
      <c r="M20">
        <f t="shared" si="2"/>
        <v>0</v>
      </c>
      <c r="N20">
        <f t="shared" si="3"/>
        <v>0</v>
      </c>
    </row>
    <row r="21" spans="2:14" x14ac:dyDescent="0.35">
      <c r="B21" s="22" t="s">
        <v>61</v>
      </c>
      <c r="C21" s="23">
        <v>35.200000000000003</v>
      </c>
      <c r="D21" s="23">
        <v>36.1</v>
      </c>
      <c r="E21" s="23">
        <v>36.299999999999997</v>
      </c>
      <c r="F21" s="23">
        <v>34.200000000000003</v>
      </c>
      <c r="G21" s="23">
        <v>33.200000000000003</v>
      </c>
      <c r="H21" s="23">
        <v>32.9</v>
      </c>
      <c r="K21" s="31">
        <f t="shared" si="0"/>
        <v>107.60000000000001</v>
      </c>
      <c r="L21" s="31">
        <f t="shared" si="1"/>
        <v>100.30000000000001</v>
      </c>
      <c r="M21">
        <f t="shared" si="2"/>
        <v>0</v>
      </c>
      <c r="N21">
        <f t="shared" si="3"/>
        <v>7.2999999999999972</v>
      </c>
    </row>
    <row r="22" spans="2:14" x14ac:dyDescent="0.35">
      <c r="B22" s="27" t="s">
        <v>62</v>
      </c>
      <c r="C22" s="26">
        <v>22.6</v>
      </c>
      <c r="D22" s="26">
        <v>22.6</v>
      </c>
      <c r="E22" s="26">
        <v>21.9</v>
      </c>
      <c r="F22" s="26">
        <v>19.899999999999999</v>
      </c>
      <c r="G22" s="26">
        <v>19.3</v>
      </c>
      <c r="H22" s="26">
        <v>18.7</v>
      </c>
      <c r="K22" s="31">
        <f t="shared" si="0"/>
        <v>67.099999999999994</v>
      </c>
      <c r="L22" s="31">
        <f t="shared" si="1"/>
        <v>57.900000000000006</v>
      </c>
      <c r="M22">
        <f t="shared" si="2"/>
        <v>0</v>
      </c>
      <c r="N22">
        <f t="shared" si="3"/>
        <v>9.1999999999999886</v>
      </c>
    </row>
    <row r="23" spans="2:14" x14ac:dyDescent="0.35">
      <c r="B23" s="27" t="s">
        <v>63</v>
      </c>
      <c r="C23" s="26">
        <v>12.6</v>
      </c>
      <c r="D23" s="26">
        <v>13.5</v>
      </c>
      <c r="E23" s="26">
        <v>14.4</v>
      </c>
      <c r="F23" s="26">
        <v>14.3</v>
      </c>
      <c r="G23" s="26">
        <v>13.9</v>
      </c>
      <c r="H23" s="26">
        <v>14.2</v>
      </c>
      <c r="K23" s="31">
        <f t="shared" si="0"/>
        <v>40.5</v>
      </c>
      <c r="L23" s="31">
        <f t="shared" si="1"/>
        <v>42.400000000000006</v>
      </c>
      <c r="M23">
        <f t="shared" si="2"/>
        <v>1.9000000000000057</v>
      </c>
      <c r="N23">
        <f t="shared" si="3"/>
        <v>0</v>
      </c>
    </row>
    <row r="24" spans="2:14" x14ac:dyDescent="0.35">
      <c r="B24" s="20"/>
      <c r="C24" s="26"/>
      <c r="D24" s="26"/>
      <c r="E24" s="26"/>
      <c r="F24" s="26"/>
      <c r="G24" s="26"/>
      <c r="H24" s="26"/>
      <c r="K24" s="31">
        <f t="shared" si="0"/>
        <v>0</v>
      </c>
      <c r="L24" s="31">
        <f t="shared" si="1"/>
        <v>0</v>
      </c>
      <c r="M24">
        <f t="shared" si="2"/>
        <v>0</v>
      </c>
      <c r="N24">
        <f t="shared" si="3"/>
        <v>0</v>
      </c>
    </row>
    <row r="25" spans="2:14" x14ac:dyDescent="0.35">
      <c r="B25" s="22" t="s">
        <v>64</v>
      </c>
      <c r="C25" s="23">
        <v>428.39200000000005</v>
      </c>
      <c r="D25" s="23">
        <v>371.3359999999999</v>
      </c>
      <c r="E25" s="23">
        <v>373.47299999999996</v>
      </c>
      <c r="F25" s="23">
        <v>476.86300000000006</v>
      </c>
      <c r="G25" s="23">
        <v>419.6400000000001</v>
      </c>
      <c r="H25" s="23">
        <v>406.04900000000004</v>
      </c>
      <c r="K25" s="31">
        <f t="shared" si="0"/>
        <v>1173.201</v>
      </c>
      <c r="L25" s="31">
        <f t="shared" si="1"/>
        <v>1302.5520000000001</v>
      </c>
      <c r="M25">
        <f t="shared" si="2"/>
        <v>129.35100000000011</v>
      </c>
      <c r="N25">
        <f t="shared" si="3"/>
        <v>0</v>
      </c>
    </row>
    <row r="26" spans="2:14" x14ac:dyDescent="0.35">
      <c r="B26" s="27" t="s">
        <v>65</v>
      </c>
      <c r="C26" s="26">
        <v>35.424000000000007</v>
      </c>
      <c r="D26" s="26">
        <v>42.475999999999999</v>
      </c>
      <c r="E26" s="26">
        <v>33.119999999999997</v>
      </c>
      <c r="F26" s="26">
        <v>23.868000000000002</v>
      </c>
      <c r="G26" s="26">
        <v>24.480000000000004</v>
      </c>
      <c r="H26" s="26">
        <v>19.600000000000001</v>
      </c>
      <c r="K26" s="31">
        <f t="shared" si="0"/>
        <v>111.02000000000001</v>
      </c>
      <c r="L26" s="31">
        <f t="shared" si="1"/>
        <v>67.948000000000008</v>
      </c>
      <c r="M26">
        <f t="shared" si="2"/>
        <v>0</v>
      </c>
      <c r="N26">
        <f t="shared" si="3"/>
        <v>43.072000000000003</v>
      </c>
    </row>
    <row r="27" spans="2:14" x14ac:dyDescent="0.35">
      <c r="B27" s="27" t="s">
        <v>66</v>
      </c>
      <c r="C27" s="26">
        <v>10.168000000000001</v>
      </c>
      <c r="D27" s="26">
        <v>10.25</v>
      </c>
      <c r="E27" s="26">
        <v>9.8279999999999994</v>
      </c>
      <c r="F27" s="26">
        <v>11.200000000000001</v>
      </c>
      <c r="G27" s="26">
        <v>11.48</v>
      </c>
      <c r="H27" s="26">
        <v>11.154000000000002</v>
      </c>
      <c r="K27" s="31">
        <f t="shared" si="0"/>
        <v>30.245999999999999</v>
      </c>
      <c r="L27" s="31">
        <f t="shared" si="1"/>
        <v>33.834000000000003</v>
      </c>
      <c r="M27">
        <f t="shared" si="2"/>
        <v>3.5880000000000045</v>
      </c>
      <c r="N27">
        <f t="shared" si="3"/>
        <v>0</v>
      </c>
    </row>
    <row r="28" spans="2:14" x14ac:dyDescent="0.35">
      <c r="B28" s="27" t="s">
        <v>67</v>
      </c>
      <c r="C28" s="26">
        <v>29.92</v>
      </c>
      <c r="D28" s="26">
        <v>28.88</v>
      </c>
      <c r="E28" s="26">
        <v>30.854999999999997</v>
      </c>
      <c r="F28" s="26">
        <v>29.07</v>
      </c>
      <c r="G28" s="26">
        <v>28.220000000000002</v>
      </c>
      <c r="H28" s="26">
        <v>26.319999999999997</v>
      </c>
      <c r="K28" s="31">
        <f t="shared" si="0"/>
        <v>89.655000000000001</v>
      </c>
      <c r="L28" s="31">
        <f t="shared" si="1"/>
        <v>83.61</v>
      </c>
      <c r="M28">
        <f t="shared" si="2"/>
        <v>0</v>
      </c>
      <c r="N28">
        <f t="shared" si="3"/>
        <v>6.0450000000000017</v>
      </c>
    </row>
    <row r="29" spans="2:14" x14ac:dyDescent="0.35">
      <c r="B29" s="27" t="s">
        <v>68</v>
      </c>
      <c r="C29" s="26">
        <v>352.88000000000005</v>
      </c>
      <c r="D29" s="26">
        <v>289.7299999999999</v>
      </c>
      <c r="E29" s="26">
        <v>299.66999999999996</v>
      </c>
      <c r="F29" s="26">
        <v>412.72500000000002</v>
      </c>
      <c r="G29" s="26">
        <v>355.46000000000009</v>
      </c>
      <c r="H29" s="26">
        <v>348.97500000000002</v>
      </c>
      <c r="K29" s="31">
        <f t="shared" si="0"/>
        <v>942.27999999999986</v>
      </c>
      <c r="L29" s="31">
        <f t="shared" si="1"/>
        <v>1117.1600000000003</v>
      </c>
      <c r="M29">
        <f t="shared" si="2"/>
        <v>174.88000000000045</v>
      </c>
      <c r="N29">
        <f t="shared" si="3"/>
        <v>0</v>
      </c>
    </row>
    <row r="30" spans="2:14" x14ac:dyDescent="0.35">
      <c r="B30" s="20"/>
      <c r="C30" s="20"/>
      <c r="D30" s="20"/>
      <c r="E30" s="20"/>
      <c r="F30" s="20"/>
      <c r="G30" s="20"/>
      <c r="H30" s="20"/>
      <c r="K30" s="31">
        <f t="shared" si="0"/>
        <v>0</v>
      </c>
      <c r="L30" s="31">
        <f t="shared" si="1"/>
        <v>0</v>
      </c>
      <c r="M30">
        <f t="shared" si="2"/>
        <v>0</v>
      </c>
      <c r="N30">
        <f t="shared" si="3"/>
        <v>0</v>
      </c>
    </row>
    <row r="31" spans="2:14" x14ac:dyDescent="0.35">
      <c r="B31" s="22" t="s">
        <v>69</v>
      </c>
      <c r="C31" s="28">
        <v>96.6</v>
      </c>
      <c r="D31" s="28">
        <v>92.100000000000009</v>
      </c>
      <c r="E31" s="28">
        <v>93.5</v>
      </c>
      <c r="F31" s="28">
        <v>95.100000000000009</v>
      </c>
      <c r="G31" s="28">
        <v>97.8</v>
      </c>
      <c r="H31" s="28">
        <v>104.70000000000002</v>
      </c>
      <c r="K31" s="31">
        <f t="shared" si="0"/>
        <v>282.2</v>
      </c>
      <c r="L31" s="31">
        <f t="shared" si="1"/>
        <v>297.60000000000002</v>
      </c>
      <c r="M31">
        <f t="shared" si="2"/>
        <v>15.400000000000034</v>
      </c>
      <c r="N31">
        <f t="shared" si="3"/>
        <v>0</v>
      </c>
    </row>
    <row r="32" spans="2:14" x14ac:dyDescent="0.35">
      <c r="B32" s="27" t="s">
        <v>70</v>
      </c>
      <c r="C32" s="26">
        <v>14.1</v>
      </c>
      <c r="D32" s="26">
        <v>14</v>
      </c>
      <c r="E32" s="26">
        <v>13.9</v>
      </c>
      <c r="F32" s="26">
        <v>10.9</v>
      </c>
      <c r="G32" s="26">
        <v>10.8</v>
      </c>
      <c r="H32" s="26">
        <v>10.7</v>
      </c>
      <c r="K32" s="31">
        <f t="shared" si="0"/>
        <v>42</v>
      </c>
      <c r="L32" s="31">
        <f t="shared" si="1"/>
        <v>32.400000000000006</v>
      </c>
      <c r="M32">
        <f t="shared" si="2"/>
        <v>0</v>
      </c>
      <c r="N32">
        <f t="shared" si="3"/>
        <v>9.5999999999999943</v>
      </c>
    </row>
    <row r="33" spans="2:14" x14ac:dyDescent="0.35">
      <c r="B33" s="27" t="s">
        <v>71</v>
      </c>
      <c r="C33" s="26">
        <v>59.9</v>
      </c>
      <c r="D33" s="26">
        <v>55.7</v>
      </c>
      <c r="E33" s="26">
        <v>57.4</v>
      </c>
      <c r="F33" s="26">
        <v>61.7</v>
      </c>
      <c r="G33" s="26">
        <v>63.6</v>
      </c>
      <c r="H33" s="26">
        <v>71.900000000000006</v>
      </c>
      <c r="K33" s="31">
        <f t="shared" si="0"/>
        <v>173</v>
      </c>
      <c r="L33" s="31">
        <f t="shared" si="1"/>
        <v>197.20000000000002</v>
      </c>
      <c r="M33">
        <f t="shared" si="2"/>
        <v>24.200000000000017</v>
      </c>
      <c r="N33">
        <f t="shared" si="3"/>
        <v>0</v>
      </c>
    </row>
    <row r="34" spans="2:14" x14ac:dyDescent="0.35">
      <c r="B34" s="27" t="s">
        <v>72</v>
      </c>
      <c r="C34" s="26">
        <v>9.6</v>
      </c>
      <c r="D34" s="26">
        <v>9.5</v>
      </c>
      <c r="E34" s="26">
        <v>9.4</v>
      </c>
      <c r="F34" s="26">
        <v>11.2</v>
      </c>
      <c r="G34" s="26">
        <v>11.1</v>
      </c>
      <c r="H34" s="26">
        <v>9.9</v>
      </c>
      <c r="K34" s="31">
        <f t="shared" si="0"/>
        <v>28.5</v>
      </c>
      <c r="L34" s="31">
        <f t="shared" si="1"/>
        <v>32.199999999999996</v>
      </c>
      <c r="M34">
        <f t="shared" si="2"/>
        <v>3.6999999999999957</v>
      </c>
      <c r="N34">
        <f t="shared" si="3"/>
        <v>0</v>
      </c>
    </row>
    <row r="35" spans="2:14" x14ac:dyDescent="0.35">
      <c r="B35" s="27" t="s">
        <v>73</v>
      </c>
      <c r="C35" s="26">
        <v>13</v>
      </c>
      <c r="D35" s="26">
        <v>12.9</v>
      </c>
      <c r="E35" s="26">
        <v>12.8</v>
      </c>
      <c r="F35" s="26">
        <v>11.3</v>
      </c>
      <c r="G35" s="26">
        <v>12.3</v>
      </c>
      <c r="H35" s="26">
        <v>12.2</v>
      </c>
      <c r="K35" s="31">
        <f t="shared" si="0"/>
        <v>38.700000000000003</v>
      </c>
      <c r="L35" s="31">
        <f t="shared" si="1"/>
        <v>35.799999999999997</v>
      </c>
      <c r="M35">
        <f t="shared" si="2"/>
        <v>0</v>
      </c>
      <c r="N35">
        <f t="shared" si="3"/>
        <v>2.9000000000000057</v>
      </c>
    </row>
    <row r="36" spans="2:14" x14ac:dyDescent="0.35">
      <c r="B36" s="20"/>
      <c r="C36" s="20"/>
      <c r="D36" s="20"/>
      <c r="E36" s="20"/>
      <c r="F36" s="20"/>
      <c r="G36" s="20"/>
      <c r="H36" s="20"/>
      <c r="K36" s="31">
        <f t="shared" si="0"/>
        <v>0</v>
      </c>
      <c r="L36" s="31">
        <f t="shared" si="1"/>
        <v>0</v>
      </c>
      <c r="M36">
        <f t="shared" si="2"/>
        <v>0</v>
      </c>
      <c r="N36">
        <f t="shared" si="3"/>
        <v>0</v>
      </c>
    </row>
    <row r="37" spans="2:14" x14ac:dyDescent="0.35">
      <c r="B37" s="22" t="s">
        <v>74</v>
      </c>
      <c r="C37" s="30">
        <v>524.99200000000008</v>
      </c>
      <c r="D37" s="30">
        <v>463.43599999999992</v>
      </c>
      <c r="E37" s="30">
        <v>466.97299999999996</v>
      </c>
      <c r="F37" s="30">
        <v>571.96300000000008</v>
      </c>
      <c r="G37" s="30">
        <v>517.44000000000005</v>
      </c>
      <c r="H37" s="30">
        <v>510.74900000000002</v>
      </c>
      <c r="K37" s="31">
        <f t="shared" si="0"/>
        <v>1455.4009999999998</v>
      </c>
      <c r="L37" s="31">
        <f t="shared" si="1"/>
        <v>1600.1520000000003</v>
      </c>
      <c r="M37">
        <f t="shared" si="2"/>
        <v>144.75100000000043</v>
      </c>
      <c r="N37">
        <f t="shared" si="3"/>
        <v>0</v>
      </c>
    </row>
    <row r="38" spans="2:14" x14ac:dyDescent="0.35">
      <c r="B38" s="22" t="s">
        <v>29</v>
      </c>
      <c r="C38" s="30">
        <v>6.9079999999999018</v>
      </c>
      <c r="D38" s="30">
        <v>50.864000000000033</v>
      </c>
      <c r="E38" s="30">
        <v>51.427000000000021</v>
      </c>
      <c r="F38" s="30">
        <v>57.137000000000057</v>
      </c>
      <c r="G38" s="30">
        <v>68.160000000000082</v>
      </c>
      <c r="H38" s="30">
        <v>26.250999999999976</v>
      </c>
      <c r="K38" s="31">
        <f t="shared" si="0"/>
        <v>109.19899999999996</v>
      </c>
      <c r="L38" s="31">
        <f t="shared" si="1"/>
        <v>151.54800000000012</v>
      </c>
      <c r="M38">
        <f t="shared" si="2"/>
        <v>42.34900000000016</v>
      </c>
      <c r="N38">
        <f t="shared" si="3"/>
        <v>0</v>
      </c>
    </row>
    <row r="39" spans="2:14" x14ac:dyDescent="0.35">
      <c r="B39" s="20"/>
      <c r="C39" s="20"/>
      <c r="D39" s="20"/>
      <c r="E39" s="20"/>
      <c r="F39" s="20"/>
      <c r="G39" s="20"/>
      <c r="H39" s="20"/>
      <c r="K39" s="31">
        <f t="shared" si="0"/>
        <v>0</v>
      </c>
      <c r="L39" s="31">
        <f t="shared" si="1"/>
        <v>0</v>
      </c>
      <c r="M39">
        <f t="shared" si="2"/>
        <v>0</v>
      </c>
      <c r="N39">
        <f t="shared" si="3"/>
        <v>0</v>
      </c>
    </row>
    <row r="40" spans="2:14" x14ac:dyDescent="0.35">
      <c r="B40" s="20" t="s">
        <v>75</v>
      </c>
      <c r="C40" s="26">
        <v>5.6</v>
      </c>
      <c r="D40" s="26">
        <v>5.5</v>
      </c>
      <c r="E40" s="26">
        <v>5.6</v>
      </c>
      <c r="F40" s="26">
        <v>6.6</v>
      </c>
      <c r="G40" s="26">
        <v>6.8</v>
      </c>
      <c r="H40" s="26">
        <v>7</v>
      </c>
      <c r="K40" s="31">
        <f t="shared" si="0"/>
        <v>16.7</v>
      </c>
      <c r="L40" s="31">
        <f t="shared" si="1"/>
        <v>20.399999999999999</v>
      </c>
      <c r="M40">
        <f t="shared" si="2"/>
        <v>3.6999999999999993</v>
      </c>
      <c r="N40">
        <f t="shared" si="3"/>
        <v>0</v>
      </c>
    </row>
    <row r="41" spans="2:14" x14ac:dyDescent="0.35">
      <c r="B41" s="20"/>
      <c r="C41" s="20"/>
      <c r="D41" s="20"/>
      <c r="E41" s="20"/>
      <c r="F41" s="20"/>
      <c r="G41" s="20"/>
      <c r="H41" s="20"/>
      <c r="K41" s="31">
        <f t="shared" si="0"/>
        <v>0</v>
      </c>
      <c r="L41" s="31">
        <f t="shared" si="1"/>
        <v>0</v>
      </c>
      <c r="M41">
        <f t="shared" si="2"/>
        <v>0</v>
      </c>
      <c r="N41">
        <f t="shared" si="3"/>
        <v>0</v>
      </c>
    </row>
    <row r="42" spans="2:14" x14ac:dyDescent="0.35">
      <c r="B42" s="22" t="s">
        <v>76</v>
      </c>
      <c r="C42" s="30">
        <v>1.3079999999999021</v>
      </c>
      <c r="D42" s="30">
        <v>45.364000000000033</v>
      </c>
      <c r="E42" s="30">
        <v>45.827000000000019</v>
      </c>
      <c r="F42" s="30">
        <v>50.537000000000056</v>
      </c>
      <c r="G42" s="30">
        <v>61.360000000000085</v>
      </c>
      <c r="H42" s="30">
        <v>19.250999999999976</v>
      </c>
      <c r="K42" s="31">
        <f t="shared" si="0"/>
        <v>92.498999999999953</v>
      </c>
      <c r="L42" s="31">
        <f t="shared" si="1"/>
        <v>131.14800000000011</v>
      </c>
      <c r="M42">
        <f t="shared" si="2"/>
        <v>38.649000000000157</v>
      </c>
      <c r="N42">
        <f t="shared" si="3"/>
        <v>0</v>
      </c>
    </row>
  </sheetData>
  <mergeCells count="1">
    <mergeCell ref="B2:E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4</vt:i4>
      </vt:variant>
    </vt:vector>
  </HeadingPairs>
  <TitlesOfParts>
    <vt:vector size="8" baseType="lpstr">
      <vt:lpstr>Excel_1</vt:lpstr>
      <vt:lpstr>Excel_2</vt:lpstr>
      <vt:lpstr>PPT</vt:lpstr>
      <vt:lpstr>PPT (2)</vt:lpstr>
      <vt:lpstr>Бизнес</vt:lpstr>
      <vt:lpstr>Вид</vt:lpstr>
      <vt:lpstr>Год</vt:lpstr>
      <vt:lpstr>Статья</vt:lpstr>
    </vt:vector>
  </TitlesOfParts>
  <Company>ПАО "МТС"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Пашков Илья Игоревич</dc:creator>
  <cp:lastModifiedBy>Прошутинская Лилия</cp:lastModifiedBy>
  <dcterms:created xsi:type="dcterms:W3CDTF">2021-05-27T07:33:04Z</dcterms:created>
  <dcterms:modified xsi:type="dcterms:W3CDTF">2022-04-17T12:05:54Z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